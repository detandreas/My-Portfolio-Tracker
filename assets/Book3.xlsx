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aspapathanasioy/Documents/programming/codes/python/Dashboard-local/Dashboard/assets/"/>
    </mc:Choice>
  </mc:AlternateContent>
  <xr:revisionPtr revIDLastSave="0" documentId="13_ncr:1_{2CD15B3E-64AD-B441-999F-F01B73B0F13B}" xr6:coauthVersionLast="47" xr6:coauthVersionMax="47" xr10:uidLastSave="{00000000-0000-0000-0000-000000000000}"/>
  <bookViews>
    <workbookView xWindow="0" yWindow="680" windowWidth="34200" windowHeight="21120" xr2:uid="{2C047A19-3ACC-46EC-BDD5-E3F88895711D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9" i="1" l="1"/>
  <c r="V8" i="1"/>
  <c r="V24" i="1"/>
  <c r="V14" i="1"/>
  <c r="V17" i="1" s="1"/>
  <c r="V11" i="1"/>
  <c r="V12" i="1"/>
  <c r="V3" i="1"/>
  <c r="V4" i="1" s="1"/>
  <c r="V22" i="1"/>
  <c r="V25" i="1" s="1"/>
  <c r="V10" i="1"/>
  <c r="V16" i="1"/>
  <c r="U24" i="1"/>
  <c r="U22" i="1"/>
  <c r="V2" i="1"/>
  <c r="U9" i="1"/>
  <c r="U17" i="1" s="1"/>
  <c r="U3" i="1"/>
  <c r="U4" i="1" s="1"/>
  <c r="U14" i="1"/>
  <c r="U10" i="1"/>
  <c r="U16" i="1"/>
  <c r="U15" i="1"/>
  <c r="U8" i="1"/>
  <c r="U25" i="1"/>
  <c r="T8" i="1"/>
  <c r="T10" i="1"/>
  <c r="T9" i="1"/>
  <c r="T12" i="1"/>
  <c r="T3" i="1"/>
  <c r="T30" i="1"/>
  <c r="T22" i="1"/>
  <c r="T16" i="1"/>
  <c r="T15" i="1"/>
  <c r="T4" i="1"/>
  <c r="T13" i="1"/>
  <c r="T11" i="1"/>
  <c r="S10" i="1"/>
  <c r="S9" i="1"/>
  <c r="S12" i="1"/>
  <c r="S16" i="1"/>
  <c r="S15" i="1"/>
  <c r="S11" i="1"/>
  <c r="S24" i="1"/>
  <c r="S25" i="1" s="1"/>
  <c r="S3" i="1"/>
  <c r="S4" i="1"/>
  <c r="S22" i="1"/>
  <c r="R11" i="1"/>
  <c r="R16" i="1"/>
  <c r="R10" i="1"/>
  <c r="R9" i="1"/>
  <c r="S8" i="1"/>
  <c r="R3" i="1"/>
  <c r="R24" i="1"/>
  <c r="R25" i="1" s="1"/>
  <c r="R30" i="1" s="1"/>
  <c r="R14" i="1"/>
  <c r="R22" i="1"/>
  <c r="R4" i="1"/>
  <c r="R12" i="1"/>
  <c r="R8" i="1"/>
  <c r="R2" i="1"/>
  <c r="Q8" i="1"/>
  <c r="Q9" i="1"/>
  <c r="Q12" i="1"/>
  <c r="Q3" i="1"/>
  <c r="Q10" i="1"/>
  <c r="Q14" i="1"/>
  <c r="Q11" i="1"/>
  <c r="Q24" i="1"/>
  <c r="Q22" i="1"/>
  <c r="Q16" i="1"/>
  <c r="Q15" i="1"/>
  <c r="Q25" i="1"/>
  <c r="Q2" i="1"/>
  <c r="P24" i="1"/>
  <c r="P22" i="1"/>
  <c r="P12" i="1"/>
  <c r="P13" i="1"/>
  <c r="P14" i="1"/>
  <c r="T25" i="1"/>
  <c r="W25" i="1"/>
  <c r="X25" i="1"/>
  <c r="Y25" i="1"/>
  <c r="Z25" i="1"/>
  <c r="AA25" i="1"/>
  <c r="AB25" i="1"/>
  <c r="W17" i="1"/>
  <c r="X17" i="1"/>
  <c r="Y17" i="1"/>
  <c r="Z17" i="1"/>
  <c r="AA17" i="1"/>
  <c r="AB17" i="1"/>
  <c r="W4" i="1"/>
  <c r="X4" i="1"/>
  <c r="Y4" i="1"/>
  <c r="Z4" i="1"/>
  <c r="AA4" i="1"/>
  <c r="AB4" i="1"/>
  <c r="P8" i="1"/>
  <c r="P3" i="1"/>
  <c r="P4" i="1" s="1"/>
  <c r="P16" i="1"/>
  <c r="P10" i="1"/>
  <c r="O21" i="1"/>
  <c r="O23" i="1"/>
  <c r="O24" i="1"/>
  <c r="O22" i="1"/>
  <c r="P25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I22" i="1"/>
  <c r="I25" i="1" s="1"/>
  <c r="H8" i="1"/>
  <c r="K25" i="1"/>
  <c r="O25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V31" i="1" l="1"/>
  <c r="V30" i="1"/>
  <c r="V29" i="1"/>
  <c r="U30" i="1"/>
  <c r="U29" i="1"/>
  <c r="U31" i="1"/>
  <c r="T17" i="1"/>
  <c r="S17" i="1"/>
  <c r="S31" i="1" s="1"/>
  <c r="S30" i="1"/>
  <c r="R17" i="1"/>
  <c r="R31" i="1" s="1"/>
  <c r="Q30" i="1"/>
  <c r="Q4" i="1"/>
  <c r="Q17" i="1"/>
  <c r="P17" i="1"/>
  <c r="P29" i="1" s="1"/>
  <c r="P30" i="1"/>
  <c r="O17" i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T31" i="1" l="1"/>
  <c r="T29" i="1"/>
  <c r="S29" i="1"/>
  <c r="R29" i="1"/>
  <c r="Q29" i="1"/>
  <c r="Q31" i="1"/>
  <c r="P31" i="1"/>
  <c r="O29" i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<sst xmlns="http://schemas.openxmlformats.org/spreadsheetml/2006/main" count="133" uniqueCount="53">
  <si>
    <t>INCOME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</si>
  <si>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</si>
  <si>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</si>
  <si>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</si>
  <si>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</si>
  <si>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</si>
  <si>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</si>
  <si>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</si>
  <si>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</si>
  <si>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 25</t>
  </si>
  <si>
    <t>JUL 25</t>
  </si>
  <si>
    <t>AUG 25</t>
  </si>
  <si>
    <t>SEP 25</t>
  </si>
  <si>
    <t>OCT 25</t>
  </si>
  <si>
    <t>NOV 25</t>
  </si>
  <si>
    <t>DEC 25</t>
  </si>
  <si>
    <t>PROJECTED INCOME</t>
  </si>
  <si>
    <t>ACTUAL INCOME</t>
  </si>
  <si>
    <t>ERROR</t>
  </si>
  <si>
    <t>EXPENSES</t>
  </si>
  <si>
    <t>OCT 24</t>
  </si>
  <si>
    <t>JUNE 25</t>
  </si>
  <si>
    <t>DELIVERY</t>
  </si>
  <si>
    <t>COFFEE/SNACKS</t>
  </si>
  <si>
    <t>RESTAURANT</t>
  </si>
  <si>
    <t>TRANSPORTATION</t>
  </si>
  <si>
    <t>GIFTS</t>
  </si>
  <si>
    <t>SHOPPING</t>
  </si>
  <si>
    <t>ENTERTAINMENT</t>
  </si>
  <si>
    <t>HAIRCUT</t>
  </si>
  <si>
    <t>BOOKS/AI/GADGETS</t>
  </si>
  <si>
    <t>TOTAL</t>
  </si>
  <si>
    <t>INVESTMENTS</t>
  </si>
  <si>
    <t>STOCKS</t>
  </si>
  <si>
    <t>ETFS</t>
  </si>
  <si>
    <t>CRYPTO</t>
  </si>
  <si>
    <t>CASH BALANCE</t>
  </si>
  <si>
    <t>RATIOS</t>
  </si>
  <si>
    <t>INVESTMENTS TO EXPENSES</t>
  </si>
  <si>
    <t>INVESTMENTS TO INCOME</t>
  </si>
  <si>
    <t>INCOME TO EXPENSES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</si>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</sst>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Εισαγωγή" xfId="1" builtinId="20"/>
    <cellStyle name="Έλεγχος κελιού" xfId="2" builtinId="23"/>
    <cellStyle name="Κανονικό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Θέμα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AB32"/>
  <sheetViews>
    <sheetView tabSelected="1" zoomScaleNormal="100" workbookViewId="0">
      <selection activeCell="V13" sqref="V13"/>
    </sheetView>
  </sheetViews>
  <sheetFormatPr baseColWidth="10" defaultColWidth="8.83203125" defaultRowHeight="15" x14ac:dyDescent="0.2"/>
  <cols>
    <col min="1" max="1" width="29.33203125" customWidth="1"/>
    <col min="2" max="2" width="10.6640625" bestFit="1" customWidth="1"/>
    <col min="3" max="3" width="10.33203125" bestFit="1" customWidth="1"/>
    <col min="4" max="5" width="9.83203125" bestFit="1" customWidth="1"/>
    <col min="6" max="6" width="9.5" bestFit="1" customWidth="1"/>
    <col min="7" max="7" width="10.33203125" bestFit="1" customWidth="1"/>
    <col min="8" max="8" width="9.83203125" bestFit="1" customWidth="1"/>
    <col min="9" max="9" width="11" bestFit="1" customWidth="1"/>
    <col min="10" max="10" width="11.5" bestFit="1" customWidth="1"/>
    <col min="11" max="11" width="9.5" bestFit="1" customWidth="1"/>
    <col min="12" max="12" width="10.33203125" bestFit="1" customWidth="1"/>
    <col min="13" max="13" width="9.5" bestFit="1" customWidth="1"/>
    <col min="14" max="14" width="10" bestFit="1" customWidth="1"/>
    <col min="15" max="15" width="10" customWidth="1"/>
    <col min="16" max="16" width="12.5" customWidth="1"/>
    <col min="17" max="17" width="11.5" customWidth="1"/>
    <col min="18" max="18" width="10.83203125" customWidth="1"/>
    <col min="21" max="21" width="10.33203125" bestFit="1" customWidth="1"/>
    <col min="22" max="22" width="10.33203125" customWidth="1"/>
  </cols>
  <sheetData>
    <row r="1" spans="1:28" ht="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</row>
    <row r="2" spans="1:28" s="6" customFormat="1" ht="16" thickBot="1" x14ac:dyDescent="0.25">
      <c r="A2" s="4" t="s">
        <v>16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  <c r="Q2" s="6">
        <f>700</f>
        <v>700</v>
      </c>
      <c r="R2" s="6">
        <f>900</f>
        <v>900</v>
      </c>
      <c r="S2" s="6">
        <v>900</v>
      </c>
      <c r="T2" s="6">
        <v>800</v>
      </c>
      <c r="U2" s="6">
        <v>2000</v>
      </c>
      <c r="V2" s="6">
        <f>700</f>
        <v>700</v>
      </c>
    </row>
    <row r="3" spans="1:28" s="6" customFormat="1" ht="17" thickTop="1" thickBot="1" x14ac:dyDescent="0.25">
      <c r="A3" s="2" t="s">
        <v>17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400+700+100+200</f>
        <v>1400</v>
      </c>
      <c r="Q3" s="6">
        <f>130+50+500+50+20</f>
        <v>750</v>
      </c>
      <c r="R3" s="6">
        <f>550+20+20+10+10+200+200+250</f>
        <v>1260</v>
      </c>
      <c r="S3" s="6">
        <f>400+100+100+110+100</f>
        <v>810</v>
      </c>
      <c r="T3" s="6">
        <f>400+100+50+250</f>
        <v>800</v>
      </c>
      <c r="U3" s="6">
        <f>400+40+2000+100</f>
        <v>2540</v>
      </c>
      <c r="V3" s="6">
        <f>400+20+200+1000</f>
        <v>1620</v>
      </c>
    </row>
    <row r="4" spans="1:28" ht="17" thickTop="1" thickBot="1" x14ac:dyDescent="0.25">
      <c r="A4" s="2" t="s">
        <v>18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AB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700</v>
      </c>
      <c r="Q4" s="3">
        <f t="shared" si="3"/>
        <v>50</v>
      </c>
      <c r="R4" s="3">
        <f t="shared" si="3"/>
        <v>360</v>
      </c>
      <c r="S4" s="3">
        <f t="shared" si="3"/>
        <v>-90</v>
      </c>
      <c r="T4" s="3">
        <f t="shared" si="3"/>
        <v>0</v>
      </c>
      <c r="U4" s="3">
        <f>U3-U2</f>
        <v>540</v>
      </c>
      <c r="V4" s="3">
        <f>V3-V2</f>
        <v>920</v>
      </c>
      <c r="W4" s="3">
        <f t="shared" si="3"/>
        <v>0</v>
      </c>
      <c r="X4" s="3">
        <f t="shared" si="3"/>
        <v>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</row>
    <row r="5" spans="1:28" ht="16" thickTop="1" x14ac:dyDescent="0.2">
      <c r="J5" s="3"/>
    </row>
    <row r="7" spans="1:28" ht="17" x14ac:dyDescent="0.25">
      <c r="A7" s="1" t="s">
        <v>19</v>
      </c>
      <c r="B7" s="1" t="s">
        <v>20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21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41</v>
      </c>
      <c r="R7" s="1" t="s">
        <v>42</v>
      </c>
      <c r="S7" s="1" t="s">
        <v>43</v>
      </c>
      <c r="T7" s="1" t="s">
        <v>44</v>
      </c>
      <c r="U7" s="1" t="s">
        <v>45</v>
      </c>
      <c r="V7" s="1" t="s">
        <v>46</v>
      </c>
      <c r="W7" s="1" t="s">
        <v>47</v>
      </c>
      <c r="X7" s="1" t="s">
        <v>48</v>
      </c>
      <c r="Y7" s="1" t="s">
        <v>49</v>
      </c>
      <c r="Z7" s="1" t="s">
        <v>50</v>
      </c>
      <c r="AA7" s="1" t="s">
        <v>51</v>
      </c>
      <c r="AB7" s="1" t="s">
        <v>52</v>
      </c>
    </row>
    <row r="8" spans="1:28" s="6" customFormat="1" ht="16" thickBot="1" x14ac:dyDescent="0.25">
      <c r="A8" s="4" t="s">
        <v>22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  <c r="P8" s="6">
        <f>12+6+30+6+10</f>
        <v>64</v>
      </c>
      <c r="Q8" s="6">
        <f>22+20+20</f>
        <v>62</v>
      </c>
      <c r="R8" s="6">
        <f>5.6</f>
        <v>5.6</v>
      </c>
      <c r="S8" s="6">
        <f>13.4</f>
        <v>13.4</v>
      </c>
      <c r="T8" s="6">
        <f>11+26+30+12+21</f>
        <v>100</v>
      </c>
      <c r="U8" s="6">
        <f>11</f>
        <v>11</v>
      </c>
      <c r="V8" s="6">
        <f xml:space="preserve"> 9+10</f>
        <v>19</v>
      </c>
    </row>
    <row r="9" spans="1:28" s="6" customFormat="1" ht="17" thickTop="1" thickBot="1" x14ac:dyDescent="0.25">
      <c r="A9" s="4" t="s">
        <v>23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  <c r="Q9" s="6">
        <f>5+24+12+8+12</f>
        <v>61</v>
      </c>
      <c r="R9" s="6">
        <f>22.5+13+3+17+8.5+6+25+10+9</f>
        <v>114</v>
      </c>
      <c r="S9" s="6">
        <f>14+10+6+7.5+15+15.6+15</f>
        <v>83.1</v>
      </c>
      <c r="T9" s="6">
        <f>33+10+11+10+30+10</f>
        <v>104</v>
      </c>
      <c r="U9" s="6">
        <f>14+15+3+10+30</f>
        <v>72</v>
      </c>
      <c r="V9" s="6">
        <f>9+10+9+16</f>
        <v>44</v>
      </c>
    </row>
    <row r="10" spans="1:28" s="6" customFormat="1" ht="17" thickTop="1" thickBot="1" x14ac:dyDescent="0.25">
      <c r="A10" s="2" t="s">
        <v>24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  <c r="P10" s="6">
        <f>245</f>
        <v>245</v>
      </c>
      <c r="Q10" s="6">
        <f>23+13</f>
        <v>36</v>
      </c>
      <c r="R10" s="6">
        <f>24</f>
        <v>24</v>
      </c>
      <c r="S10" s="6">
        <f>125+80</f>
        <v>205</v>
      </c>
      <c r="T10" s="6">
        <f>82+200</f>
        <v>282</v>
      </c>
      <c r="U10" s="6">
        <f>46</f>
        <v>46</v>
      </c>
      <c r="V10" s="6">
        <f>225</f>
        <v>225</v>
      </c>
    </row>
    <row r="11" spans="1:28" s="6" customFormat="1" ht="17" thickTop="1" thickBot="1" x14ac:dyDescent="0.25">
      <c r="A11" s="2" t="s">
        <v>25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  <c r="Q11" s="6">
        <f>2.4</f>
        <v>2.4</v>
      </c>
      <c r="R11" s="6">
        <f>4+30</f>
        <v>34</v>
      </c>
      <c r="S11" s="6">
        <f>8</f>
        <v>8</v>
      </c>
      <c r="T11" s="6">
        <f>10</f>
        <v>10</v>
      </c>
      <c r="V11" s="6">
        <f>5+6</f>
        <v>11</v>
      </c>
    </row>
    <row r="12" spans="1:28" s="6" customFormat="1" ht="17" thickTop="1" thickBot="1" x14ac:dyDescent="0.25">
      <c r="A12" s="2" t="s">
        <v>26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  <c r="P12" s="6">
        <f>20+170</f>
        <v>190</v>
      </c>
      <c r="Q12" s="6">
        <f>25.7+24+25</f>
        <v>74.7</v>
      </c>
      <c r="R12" s="6">
        <f>100</f>
        <v>100</v>
      </c>
      <c r="S12" s="6">
        <f>6+7.5+180+9</f>
        <v>202.5</v>
      </c>
      <c r="T12" s="6">
        <f>7</f>
        <v>7</v>
      </c>
      <c r="V12" s="6">
        <f>35</f>
        <v>35</v>
      </c>
    </row>
    <row r="13" spans="1:28" s="6" customFormat="1" ht="17" thickTop="1" thickBot="1" x14ac:dyDescent="0.25">
      <c r="A13" s="2" t="s">
        <v>27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  <c r="P13" s="6">
        <f>20+180</f>
        <v>200</v>
      </c>
      <c r="T13" s="6">
        <f>30</f>
        <v>30</v>
      </c>
    </row>
    <row r="14" spans="1:28" s="6" customFormat="1" ht="17" thickTop="1" thickBot="1" x14ac:dyDescent="0.25">
      <c r="A14" s="2" t="s">
        <v>28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  <c r="P14" s="6">
        <f>20+20+30.5+23+8+20</f>
        <v>121.5</v>
      </c>
      <c r="Q14" s="6">
        <f>5+10+50+19-12.5+20+4</f>
        <v>95.5</v>
      </c>
      <c r="R14" s="6">
        <f>14+5+250</f>
        <v>269</v>
      </c>
      <c r="U14" s="6">
        <f>50+20+17</f>
        <v>87</v>
      </c>
      <c r="V14" s="6">
        <f>19.1+20+20+14</f>
        <v>73.099999999999994</v>
      </c>
    </row>
    <row r="15" spans="1:28" s="6" customFormat="1" ht="17" thickTop="1" thickBot="1" x14ac:dyDescent="0.25">
      <c r="A15" s="2" t="s">
        <v>29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  <c r="Q15" s="6">
        <f>15</f>
        <v>15</v>
      </c>
      <c r="S15" s="6">
        <f>15</f>
        <v>15</v>
      </c>
      <c r="T15" s="6">
        <f>15+15</f>
        <v>30</v>
      </c>
      <c r="U15" s="6">
        <f>15</f>
        <v>15</v>
      </c>
    </row>
    <row r="16" spans="1:28" s="6" customFormat="1" ht="17" thickTop="1" thickBot="1" x14ac:dyDescent="0.25">
      <c r="A16" s="2" t="s">
        <v>30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  <c r="P16" s="6">
        <f>24+10</f>
        <v>34</v>
      </c>
      <c r="Q16" s="6">
        <f>20+24</f>
        <v>44</v>
      </c>
      <c r="R16" s="6">
        <f>44</f>
        <v>44</v>
      </c>
      <c r="S16" s="6">
        <f>22+34+26</f>
        <v>82</v>
      </c>
      <c r="T16" s="6">
        <f>60+30</f>
        <v>90</v>
      </c>
      <c r="U16" s="6">
        <f>50+30</f>
        <v>80</v>
      </c>
      <c r="V16" s="6">
        <f>4</f>
        <v>4</v>
      </c>
    </row>
    <row r="17" spans="1:28" ht="17" thickTop="1" thickBot="1" x14ac:dyDescent="0.25">
      <c r="A17" s="2" t="s">
        <v>31</v>
      </c>
      <c r="B17" s="3">
        <f>SUM(B8:B16)</f>
        <v>369.35</v>
      </c>
      <c r="C17" s="3">
        <f t="shared" ref="C17:AB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854.5</v>
      </c>
      <c r="Q17" s="3">
        <f t="shared" si="4"/>
        <v>390.6</v>
      </c>
      <c r="R17" s="3">
        <f t="shared" si="4"/>
        <v>590.6</v>
      </c>
      <c r="S17" s="3">
        <f t="shared" si="4"/>
        <v>609</v>
      </c>
      <c r="T17" s="3">
        <f t="shared" si="4"/>
        <v>653</v>
      </c>
      <c r="U17" s="3">
        <f t="shared" si="4"/>
        <v>311</v>
      </c>
      <c r="V17" s="3">
        <f t="shared" si="4"/>
        <v>411.1</v>
      </c>
      <c r="W17" s="3">
        <f t="shared" si="4"/>
        <v>0</v>
      </c>
      <c r="X17" s="3">
        <f t="shared" si="4"/>
        <v>0</v>
      </c>
      <c r="Y17" s="3">
        <f t="shared" si="4"/>
        <v>0</v>
      </c>
      <c r="Z17" s="3">
        <f t="shared" si="4"/>
        <v>0</v>
      </c>
      <c r="AA17" s="3">
        <f t="shared" si="4"/>
        <v>0</v>
      </c>
      <c r="AB17" s="3">
        <f t="shared" si="4"/>
        <v>0</v>
      </c>
    </row>
    <row r="18" spans="1:28" ht="16" thickTop="1" x14ac:dyDescent="0.2">
      <c r="J18" s="3"/>
      <c r="K18" s="3"/>
      <c r="N18" s="3"/>
    </row>
    <row r="20" spans="1:28" ht="17" x14ac:dyDescent="0.25">
      <c r="A20" s="1" t="s">
        <v>32</v>
      </c>
      <c r="B20" s="1" t="s">
        <v>20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21</v>
      </c>
      <c r="K20" s="1" t="s">
        <v>10</v>
      </c>
      <c r="L20" s="1" t="s">
        <v>11</v>
      </c>
      <c r="M20" s="1" t="s">
        <v>12</v>
      </c>
      <c r="N20" s="1" t="s">
        <v>13</v>
      </c>
      <c r="O20" s="1" t="s">
        <v>14</v>
      </c>
      <c r="P20" s="1" t="s">
        <v>15</v>
      </c>
      <c r="Q20" s="1" t="s">
        <v>41</v>
      </c>
      <c r="R20" s="1" t="s">
        <v>42</v>
      </c>
      <c r="S20" s="1" t="s">
        <v>43</v>
      </c>
      <c r="T20" s="1" t="s">
        <v>44</v>
      </c>
      <c r="U20" s="1" t="s">
        <v>45</v>
      </c>
      <c r="V20" s="1" t="s">
        <v>46</v>
      </c>
      <c r="W20" s="1" t="s">
        <v>47</v>
      </c>
      <c r="X20" s="1" t="s">
        <v>48</v>
      </c>
      <c r="Y20" s="1" t="s">
        <v>49</v>
      </c>
      <c r="Z20" s="1" t="s">
        <v>50</v>
      </c>
      <c r="AA20" s="1" t="s">
        <v>51</v>
      </c>
      <c r="AB20" s="1" t="s">
        <v>52</v>
      </c>
    </row>
    <row r="21" spans="1:28" s="6" customFormat="1" ht="16" thickBot="1" x14ac:dyDescent="0.25">
      <c r="A21" s="4" t="s">
        <v>33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  <c r="O21" s="6">
        <f>0</f>
        <v>0</v>
      </c>
    </row>
    <row r="22" spans="1:28" s="6" customFormat="1" ht="17" thickTop="1" thickBot="1" x14ac:dyDescent="0.25">
      <c r="A22" s="2" t="s">
        <v>34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  <c r="P22" s="6">
        <f>100+100</f>
        <v>200</v>
      </c>
      <c r="Q22" s="6">
        <f>250</f>
        <v>250</v>
      </c>
      <c r="R22" s="6">
        <f>200</f>
        <v>200</v>
      </c>
      <c r="S22" s="6">
        <f>300</f>
        <v>300</v>
      </c>
      <c r="T22" s="6">
        <f>400</f>
        <v>400</v>
      </c>
      <c r="U22" s="6">
        <f>200</f>
        <v>200</v>
      </c>
      <c r="V22" s="6">
        <f>200</f>
        <v>200</v>
      </c>
    </row>
    <row r="23" spans="1:28" s="6" customFormat="1" ht="17" thickTop="1" thickBot="1" x14ac:dyDescent="0.25">
      <c r="A23" s="2" t="s">
        <v>35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  <c r="O23" s="6">
        <f>0</f>
        <v>0</v>
      </c>
    </row>
    <row r="24" spans="1:28" s="6" customFormat="1" ht="17" thickTop="1" thickBot="1" x14ac:dyDescent="0.25">
      <c r="A24" s="2" t="s">
        <v>36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400-100+300+100-100</f>
        <v>600</v>
      </c>
      <c r="Q24" s="6">
        <f>500-250</f>
        <v>250</v>
      </c>
      <c r="R24" s="6">
        <f>100+100</f>
        <v>200</v>
      </c>
      <c r="S24" s="6">
        <f>100+100</f>
        <v>200</v>
      </c>
      <c r="U24" s="6">
        <f>1500</f>
        <v>1500</v>
      </c>
      <c r="V24" s="6">
        <f>300-200+800</f>
        <v>900</v>
      </c>
    </row>
    <row r="25" spans="1:28" ht="17" thickTop="1" thickBot="1" x14ac:dyDescent="0.25">
      <c r="A25" s="2" t="s">
        <v>31</v>
      </c>
      <c r="B25" s="3">
        <f t="shared" ref="B25:AB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800</v>
      </c>
      <c r="Q25" s="3">
        <f t="shared" si="5"/>
        <v>500</v>
      </c>
      <c r="R25" s="3">
        <f t="shared" si="5"/>
        <v>400</v>
      </c>
      <c r="S25" s="3">
        <f t="shared" si="5"/>
        <v>500</v>
      </c>
      <c r="T25" s="3">
        <f t="shared" si="5"/>
        <v>400</v>
      </c>
      <c r="U25" s="3">
        <f t="shared" si="5"/>
        <v>1700</v>
      </c>
      <c r="V25" s="3">
        <f t="shared" si="5"/>
        <v>1100</v>
      </c>
      <c r="W25" s="3">
        <f t="shared" si="5"/>
        <v>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</row>
    <row r="26" spans="1:28" ht="16" thickTop="1" x14ac:dyDescent="0.2">
      <c r="J26" s="3"/>
      <c r="L26" s="3"/>
      <c r="Q26" s="3"/>
    </row>
    <row r="27" spans="1:28" x14ac:dyDescent="0.2">
      <c r="J27" s="3"/>
    </row>
    <row r="28" spans="1:28" ht="17" x14ac:dyDescent="0.25">
      <c r="A28" s="1" t="s">
        <v>37</v>
      </c>
      <c r="B28" s="1" t="s">
        <v>20</v>
      </c>
      <c r="C28" s="1" t="s">
        <v>2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1" t="s">
        <v>21</v>
      </c>
      <c r="K28" s="1" t="s">
        <v>10</v>
      </c>
      <c r="L28" s="1" t="s">
        <v>11</v>
      </c>
      <c r="M28" s="1" t="s">
        <v>12</v>
      </c>
      <c r="N28" s="1" t="s">
        <v>13</v>
      </c>
      <c r="O28" s="1" t="s">
        <v>14</v>
      </c>
      <c r="P28" s="1" t="s">
        <v>15</v>
      </c>
      <c r="Q28" s="1" t="s">
        <v>41</v>
      </c>
      <c r="R28" s="1" t="s">
        <v>42</v>
      </c>
      <c r="S28" s="1" t="s">
        <v>43</v>
      </c>
      <c r="T28" s="1" t="s">
        <v>44</v>
      </c>
      <c r="U28" s="1" t="s">
        <v>45</v>
      </c>
      <c r="V28" s="1" t="s">
        <v>46</v>
      </c>
      <c r="W28" s="1" t="s">
        <v>47</v>
      </c>
      <c r="X28" s="1" t="s">
        <v>48</v>
      </c>
      <c r="Y28" s="1" t="s">
        <v>49</v>
      </c>
      <c r="Z28" s="1" t="s">
        <v>50</v>
      </c>
      <c r="AA28" s="1" t="s">
        <v>51</v>
      </c>
      <c r="AB28" s="1" t="s">
        <v>52</v>
      </c>
    </row>
    <row r="29" spans="1:28" ht="16" thickBot="1" x14ac:dyDescent="0.25">
      <c r="A29" s="4" t="s">
        <v>38</v>
      </c>
      <c r="B29" s="5">
        <f t="shared" ref="B29:V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>
        <f t="shared" si="6"/>
        <v>0.93622001170275015</v>
      </c>
      <c r="Q29" s="5">
        <f t="shared" si="6"/>
        <v>1.2800819252432154</v>
      </c>
      <c r="R29" s="5">
        <f t="shared" si="6"/>
        <v>0.67727734507280724</v>
      </c>
      <c r="S29" s="5">
        <f t="shared" si="6"/>
        <v>0.82101806239737274</v>
      </c>
      <c r="T29" s="5">
        <f t="shared" si="6"/>
        <v>0.61255742725880546</v>
      </c>
      <c r="U29" s="5">
        <f t="shared" si="6"/>
        <v>5.4662379421221861</v>
      </c>
      <c r="V29" s="5">
        <f t="shared" si="6"/>
        <v>2.6757479931890051</v>
      </c>
    </row>
    <row r="30" spans="1:28" ht="17" thickTop="1" thickBot="1" x14ac:dyDescent="0.25">
      <c r="A30" s="2" t="s">
        <v>39</v>
      </c>
      <c r="B30" s="5">
        <f t="shared" ref="B30:V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5">
        <f t="shared" si="7"/>
        <v>0.5714285714285714</v>
      </c>
      <c r="Q30" s="5">
        <f t="shared" si="7"/>
        <v>0.66666666666666663</v>
      </c>
      <c r="R30" s="5">
        <f t="shared" si="7"/>
        <v>0.31746031746031744</v>
      </c>
      <c r="S30" s="5">
        <f t="shared" si="7"/>
        <v>0.61728395061728392</v>
      </c>
      <c r="T30" s="5">
        <f t="shared" si="7"/>
        <v>0.5</v>
      </c>
      <c r="U30" s="5">
        <f t="shared" si="7"/>
        <v>0.6692913385826772</v>
      </c>
      <c r="V30" s="5">
        <f t="shared" si="7"/>
        <v>0.67901234567901236</v>
      </c>
    </row>
    <row r="31" spans="1:28" ht="17" thickTop="1" thickBot="1" x14ac:dyDescent="0.25">
      <c r="A31" s="2" t="s">
        <v>40</v>
      </c>
      <c r="B31" s="5">
        <f t="shared" ref="B31:V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5">
        <f t="shared" si="8"/>
        <v>1.6383850204798127</v>
      </c>
      <c r="Q31" s="5">
        <f t="shared" si="8"/>
        <v>1.9201228878648233</v>
      </c>
      <c r="R31" s="5">
        <f t="shared" si="8"/>
        <v>2.1334236369793431</v>
      </c>
      <c r="S31" s="5">
        <f t="shared" si="8"/>
        <v>1.3300492610837438</v>
      </c>
      <c r="T31" s="5">
        <f t="shared" si="8"/>
        <v>1.2251148545176109</v>
      </c>
      <c r="U31" s="5">
        <f t="shared" si="8"/>
        <v>8.1672025723472661</v>
      </c>
      <c r="V31" s="5">
        <f t="shared" si="8"/>
        <v>3.9406470445147166</v>
      </c>
    </row>
    <row r="32" spans="1:28" ht="16" thickTop="1" x14ac:dyDescent="0.2">
      <c r="A32" s="5"/>
      <c r="B32" s="3"/>
      <c r="C32" s="3"/>
      <c r="D32" s="3"/>
    </row>
  </sheetData>
  <phoneticPr fontId="4" type="noConversion"/>
  <conditionalFormatting sqref="B29:V30">
    <cfRule type="cellIs" dxfId="9" priority="4" operator="lessThan">
      <formula>0.5</formula>
    </cfRule>
    <cfRule type="cellIs" dxfId="8" priority="5" operator="greaterThanOrEqual">
      <formula>0.5</formula>
    </cfRule>
  </conditionalFormatting>
  <conditionalFormatting sqref="B31:V31">
    <cfRule type="cellIs" dxfId="7" priority="2" operator="lessThanOrEqual">
      <formula>1</formula>
    </cfRule>
    <cfRule type="cellIs" dxfId="6" priority="3" operator="greaterThan">
      <formula>1</formula>
    </cfRule>
  </conditionalFormatting>
  <conditionalFormatting sqref="B4:AB4">
    <cfRule type="cellIs" dxfId="5" priority="17" operator="lessThan">
      <formula>0</formula>
    </cfRule>
    <cfRule type="cellIs" dxfId="4" priority="18" operator="greaterThan">
      <formula>0</formula>
    </cfRule>
  </conditionalFormatting>
  <conditionalFormatting sqref="B17:AB17">
    <cfRule type="cellIs" dxfId="3" priority="1" operator="lessThanOrEqual">
      <formula>200</formula>
    </cfRule>
    <cfRule type="cellIs" dxfId="2" priority="14" operator="greaterThan">
      <formula>200</formula>
    </cfRule>
  </conditionalFormatting>
  <conditionalFormatting sqref="B25:AB25">
    <cfRule type="cellIs" dxfId="1" priority="10" operator="lessThan">
      <formula>150</formula>
    </cfRule>
    <cfRule type="cellIs" dxfId="0" priority="11" operator="greaterThanOrEqual">
      <formula>150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baseColWidth="10" defaultColWidth="8.83203125" defaultRowHeight="15" x14ac:dyDescent="0.2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Papathanasioy</dc:creator>
  <cp:keywords/>
  <dc:description/>
  <cp:lastModifiedBy>ANDREAS PAPATHANASIOU</cp:lastModifiedBy>
  <cp:revision/>
  <dcterms:created xsi:type="dcterms:W3CDTF">2024-10-25T20:29:43Z</dcterms:created>
  <dcterms:modified xsi:type="dcterms:W3CDTF">2026-06-26T10:19:26Z</dcterms:modified>
  <cp:category/>
  <cp:contentStatus/>
</cp:coreProperties>
</file>
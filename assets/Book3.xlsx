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F:\FINANCING\"/>
    </mc:Choice>
  </mc:AlternateContent>
  <xr:revisionPtr revIDLastSave="0" documentId="13_ncr:1_{57415998-E20A-44F8-90CA-76B906D05137}" xr6:coauthVersionLast="47" xr6:coauthVersionMax="47" xr10:uidLastSave="{00000000-0000-0000-0000-000000000000}"/>
  <bookViews>
    <workbookView xWindow="3090" yWindow="3045" windowWidth="25710" windowHeight="12435" xr2:uid="{2C047A19-3ACC-46EC-BDD5-E3F88895711D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T8" i="1" l="1"/>
  <c r="T10" i="1"/>
  <c r="T9" i="1"/>
  <c r="T12" i="1"/>
  <c r="T3" i="1"/>
  <c r="T30" i="1"/>
  <c r="T22" i="1"/>
  <c r="T16" i="1"/>
  <c r="T15" i="1"/>
  <c r="T4" i="1"/>
  <c r="T13" i="1"/>
  <c r="T11" i="1"/>
  <c r="S10" i="1"/>
  <c r="S9" i="1"/>
  <c r="S12" i="1"/>
  <c r="S16" i="1"/>
  <c r="S15" i="1"/>
  <c r="S11" i="1"/>
  <c r="S24" i="1"/>
  <c r="S25" i="1" s="1"/>
  <c r="S3" i="1"/>
  <c r="S4" i="1"/>
  <c r="S22" i="1"/>
  <c r="R11" i="1"/>
  <c r="R16" i="1"/>
  <c r="R10" i="1"/>
  <c r="R9" i="1"/>
  <c r="S8" i="1"/>
  <c r="R3" i="1"/>
  <c r="R24" i="1"/>
  <c r="R25" i="1" s="1"/>
  <c r="R30" i="1" s="1"/>
  <c r="R14" i="1"/>
  <c r="R22" i="1"/>
  <c r="R4" i="1"/>
  <c r="R12" i="1"/>
  <c r="R8" i="1"/>
  <c r="R2" i="1"/>
  <c r="Q8" i="1"/>
  <c r="Q9" i="1"/>
  <c r="Q12" i="1"/>
  <c r="Q3" i="1"/>
  <c r="Q10" i="1"/>
  <c r="Q14" i="1"/>
  <c r="Q11" i="1"/>
  <c r="Q24" i="1"/>
  <c r="Q22" i="1"/>
  <c r="Q16" i="1"/>
  <c r="Q15" i="1"/>
  <c r="Q25" i="1"/>
  <c r="Q2" i="1"/>
  <c r="P24" i="1"/>
  <c r="P22" i="1"/>
  <c r="P12" i="1"/>
  <c r="P13" i="1"/>
  <c r="P14" i="1"/>
  <c r="T25" i="1"/>
  <c r="U25" i="1"/>
  <c r="V25" i="1"/>
  <c r="W25" i="1"/>
  <c r="X25" i="1"/>
  <c r="Y25" i="1"/>
  <c r="Z25" i="1"/>
  <c r="AA25" i="1"/>
  <c r="AB25" i="1"/>
  <c r="U17" i="1"/>
  <c r="V17" i="1"/>
  <c r="W17" i="1"/>
  <c r="X17" i="1"/>
  <c r="Y17" i="1"/>
  <c r="Z17" i="1"/>
  <c r="AA17" i="1"/>
  <c r="AB17" i="1"/>
  <c r="U4" i="1"/>
  <c r="V4" i="1"/>
  <c r="W4" i="1"/>
  <c r="X4" i="1"/>
  <c r="Y4" i="1"/>
  <c r="Z4" i="1"/>
  <c r="AA4" i="1"/>
  <c r="AB4" i="1"/>
  <c r="P8" i="1"/>
  <c r="P3" i="1"/>
  <c r="P4" i="1" s="1"/>
  <c r="P16" i="1"/>
  <c r="P10" i="1"/>
  <c r="O21" i="1"/>
  <c r="O23" i="1"/>
  <c r="O24" i="1"/>
  <c r="O22" i="1"/>
  <c r="P25" i="1"/>
  <c r="P2" i="1"/>
  <c r="O3" i="1"/>
  <c r="O4" i="1"/>
  <c r="O12" i="1"/>
  <c r="O11" i="1"/>
  <c r="O8" i="1"/>
  <c r="O14" i="1"/>
  <c r="O16" i="1"/>
  <c r="O9" i="1"/>
  <c r="O10" i="1"/>
  <c r="N13" i="1"/>
  <c r="N12" i="1"/>
  <c r="N21" i="1"/>
  <c r="N23" i="1"/>
  <c r="N22" i="1"/>
  <c r="N24" i="1"/>
  <c r="O2" i="1"/>
  <c r="N8" i="1"/>
  <c r="N9" i="1"/>
  <c r="N3" i="1"/>
  <c r="N4" i="1"/>
  <c r="N14" i="1"/>
  <c r="N15" i="1"/>
  <c r="N16" i="1"/>
  <c r="N10" i="1"/>
  <c r="N11" i="1"/>
  <c r="M24" i="1"/>
  <c r="M25" i="1" s="1"/>
  <c r="M22" i="1"/>
  <c r="M14" i="1"/>
  <c r="M9" i="1"/>
  <c r="M3" i="1"/>
  <c r="M16" i="1"/>
  <c r="M11" i="1"/>
  <c r="M17" i="1" s="1"/>
  <c r="M8" i="1"/>
  <c r="M15" i="1"/>
  <c r="M2" i="1"/>
  <c r="L14" i="1"/>
  <c r="L3" i="1"/>
  <c r="L4" i="1" s="1"/>
  <c r="L9" i="1"/>
  <c r="L15" i="1"/>
  <c r="L10" i="1"/>
  <c r="L11" i="1"/>
  <c r="L16" i="1"/>
  <c r="L8" i="1"/>
  <c r="L22" i="1"/>
  <c r="L24" i="1"/>
  <c r="L25" i="1"/>
  <c r="K3" i="1"/>
  <c r="K14" i="1"/>
  <c r="K9" i="1"/>
  <c r="K8" i="1"/>
  <c r="K12" i="1"/>
  <c r="K10" i="1"/>
  <c r="K11" i="1"/>
  <c r="K24" i="1"/>
  <c r="L2" i="1"/>
  <c r="K16" i="1"/>
  <c r="K22" i="1"/>
  <c r="K15" i="1"/>
  <c r="K13" i="1"/>
  <c r="J10" i="1"/>
  <c r="J14" i="1"/>
  <c r="J8" i="1"/>
  <c r="J11" i="1"/>
  <c r="J9" i="1"/>
  <c r="J24" i="1"/>
  <c r="J15" i="1"/>
  <c r="J3" i="1"/>
  <c r="J22" i="1"/>
  <c r="J25" i="1" s="1"/>
  <c r="J16" i="1"/>
  <c r="J4" i="1"/>
  <c r="J12" i="1"/>
  <c r="I9" i="1"/>
  <c r="I13" i="1"/>
  <c r="I14" i="1"/>
  <c r="I3" i="1"/>
  <c r="I4" i="1" s="1"/>
  <c r="I8" i="1"/>
  <c r="I11" i="1"/>
  <c r="I24" i="1"/>
  <c r="I22" i="1"/>
  <c r="I25" i="1" s="1"/>
  <c r="H8" i="1"/>
  <c r="K25" i="1"/>
  <c r="O25" i="1"/>
  <c r="H11" i="1"/>
  <c r="H9" i="1"/>
  <c r="H15" i="1"/>
  <c r="H3" i="1"/>
  <c r="H10" i="1"/>
  <c r="H24" i="1"/>
  <c r="H16" i="1"/>
  <c r="H22" i="1"/>
  <c r="H25" i="1" s="1"/>
  <c r="H14" i="1"/>
  <c r="G8" i="1"/>
  <c r="G13" i="1"/>
  <c r="G9" i="1"/>
  <c r="G3" i="1"/>
  <c r="G10" i="1"/>
  <c r="G12" i="1"/>
  <c r="G11" i="1"/>
  <c r="G24" i="1"/>
  <c r="G15" i="1"/>
  <c r="G22" i="1"/>
  <c r="G25" i="1" s="1"/>
  <c r="F10" i="1"/>
  <c r="E10" i="1"/>
  <c r="B9" i="1"/>
  <c r="G2" i="1"/>
  <c r="F3" i="1"/>
  <c r="F4" i="1" s="1"/>
  <c r="F14" i="1"/>
  <c r="F16" i="1"/>
  <c r="F8" i="1"/>
  <c r="F11" i="1"/>
  <c r="F24" i="1"/>
  <c r="F25" i="1" s="1"/>
  <c r="E15" i="1"/>
  <c r="F22" i="1"/>
  <c r="E3" i="1"/>
  <c r="E4" i="1" s="1"/>
  <c r="E14" i="1"/>
  <c r="E8" i="1"/>
  <c r="D4" i="1"/>
  <c r="C4" i="1"/>
  <c r="E25" i="1"/>
  <c r="B25" i="1"/>
  <c r="B30" i="1" s="1"/>
  <c r="C25" i="1"/>
  <c r="C30" i="1" s="1"/>
  <c r="D25" i="1"/>
  <c r="C17" i="1"/>
  <c r="C31" i="1" s="1"/>
  <c r="D17" i="1"/>
  <c r="B17" i="1"/>
  <c r="B31" i="1" s="1"/>
  <c r="B4" i="1"/>
  <c r="T17" i="1" l="1"/>
  <c r="S17" i="1"/>
  <c r="S31" i="1" s="1"/>
  <c r="S30" i="1"/>
  <c r="R17" i="1"/>
  <c r="R31" i="1" s="1"/>
  <c r="Q30" i="1"/>
  <c r="Q4" i="1"/>
  <c r="Q17" i="1"/>
  <c r="P17" i="1"/>
  <c r="P29" i="1" s="1"/>
  <c r="P30" i="1"/>
  <c r="O17" i="1"/>
  <c r="O31" i="1" s="1"/>
  <c r="O30" i="1"/>
  <c r="N17" i="1"/>
  <c r="N31" i="1" s="1"/>
  <c r="N25" i="1"/>
  <c r="M29" i="1"/>
  <c r="M30" i="1"/>
  <c r="M4" i="1"/>
  <c r="M31" i="1"/>
  <c r="L17" i="1"/>
  <c r="L31" i="1" s="1"/>
  <c r="L30" i="1"/>
  <c r="K30" i="1"/>
  <c r="K4" i="1"/>
  <c r="K17" i="1"/>
  <c r="J30" i="1"/>
  <c r="J17" i="1"/>
  <c r="J31" i="1" s="1"/>
  <c r="I17" i="1"/>
  <c r="I29" i="1" s="1"/>
  <c r="I30" i="1"/>
  <c r="H17" i="1"/>
  <c r="H31" i="1" s="1"/>
  <c r="H30" i="1"/>
  <c r="H4" i="1"/>
  <c r="G17" i="1"/>
  <c r="G29" i="1" s="1"/>
  <c r="G31" i="1"/>
  <c r="G30" i="1"/>
  <c r="D29" i="1"/>
  <c r="G4" i="1"/>
  <c r="F17" i="1"/>
  <c r="F31" i="1" s="1"/>
  <c r="F30" i="1"/>
  <c r="E30" i="1"/>
  <c r="E17" i="1"/>
  <c r="E31" i="1" s="1"/>
  <c r="D31" i="1"/>
  <c r="D30" i="1"/>
  <c r="C29" i="1"/>
  <c r="B29" i="1"/>
  <c r="T31" i="1" l="1"/>
  <c r="T29" i="1"/>
  <c r="S29" i="1"/>
  <c r="R29" i="1"/>
  <c r="Q29" i="1"/>
  <c r="Q31" i="1"/>
  <c r="P31" i="1"/>
  <c r="O29" i="1"/>
  <c r="N29" i="1"/>
  <c r="N30" i="1"/>
  <c r="L29" i="1"/>
  <c r="K31" i="1"/>
  <c r="K29" i="1"/>
  <c r="J29" i="1"/>
  <c r="I31" i="1"/>
  <c r="H29" i="1"/>
  <c r="E29" i="1"/>
  <c r="F29" i="1"/>
</calcChain>
</file>

<file path=xl/sharedStrings.xml><?xml version="1.0" encoding="utf-8"?>
<sst xmlns="http://schemas.openxmlformats.org/spreadsheetml/2006/main" count="133" uniqueCount="53">
  <si>
    <t>INCOME</t>
  </si>
  <si>
    <t xml:space="preserve"> OCT 24</t>
  </si>
  <si>
    <t>NOV 24</t>
  </si>
  <si>
    <t>DEC 24</t>
  </si>
  <si>
    <t>JAN 25</t>
  </si>
  <si>
    <t>FEB 25</t>
  </si>
  <si>
    <t>MAR 25</t>
  </si>
  <si>
    <t>APR 25</t>
  </si>
  <si>
    <t xml:space="preserve">MAY 25 </t>
  </si>
  <si>
    <t>JUN 25</t>
  </si>
  <si>
    <t>JUL 25</t>
  </si>
  <si>
    <t>AUG 25</t>
  </si>
  <si>
    <t>SEP 25</t>
  </si>
  <si>
    <t>OCT 25</t>
  </si>
  <si>
    <t>NOV 25</t>
  </si>
  <si>
    <t>DEC 25</t>
  </si>
  <si>
    <t>PROJECTED INCOME</t>
  </si>
  <si>
    <t>ACTUAL INCOME</t>
  </si>
  <si>
    <t>ERROR</t>
  </si>
  <si>
    <t>EXPENSES</t>
  </si>
  <si>
    <t>OCT 24</t>
  </si>
  <si>
    <t>JUNE 25</t>
  </si>
  <si>
    <t>DELIVERY</t>
  </si>
  <si>
    <t>COFFEE/SNACKS</t>
  </si>
  <si>
    <t>RESTAURANT</t>
  </si>
  <si>
    <t>TRANSPORTATION</t>
  </si>
  <si>
    <t>GIFTS</t>
  </si>
  <si>
    <t>SHOPPING</t>
  </si>
  <si>
    <t>ENTERTAINMENT</t>
  </si>
  <si>
    <t>HAIRCUT</t>
  </si>
  <si>
    <t>BOOKS/AI/GADGETS</t>
  </si>
  <si>
    <t>TOTAL</t>
  </si>
  <si>
    <t>INVESTMENTS</t>
  </si>
  <si>
    <t>STOCKS</t>
  </si>
  <si>
    <t>ETFS</t>
  </si>
  <si>
    <t>CRYPTO</t>
  </si>
  <si>
    <t>CASH BALANCE</t>
  </si>
  <si>
    <t>RATIOS</t>
  </si>
  <si>
    <t>INVESTMENTS TO EXPENSES</t>
  </si>
  <si>
    <t>INVESTMENTS TO INCOME</t>
  </si>
  <si>
    <t>INCOME TO EXPENSES</t>
  </si>
  <si>
    <t>JAN 26</t>
  </si>
  <si>
    <t>FEB 26</t>
  </si>
  <si>
    <t>MAR 26</t>
  </si>
  <si>
    <t>APR 26</t>
  </si>
  <si>
    <t>MAY 26</t>
  </si>
  <si>
    <t>JUN 26</t>
  </si>
  <si>
    <t>JUL 26</t>
  </si>
  <si>
    <t>AUG 26</t>
  </si>
  <si>
    <t>SEP 26</t>
  </si>
  <si>
    <t>OCT 26</t>
  </si>
  <si>
    <t>NOV 26</t>
  </si>
  <si>
    <t>DEC 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</si>
</sst>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5" x14ac:knownFonts="1">
    <font>
      <sz val="11"/>
      <color theme="1"/>
      <name val="Calibri"/>
      <family val="2"/>
      <charset val="161"/>
      <scheme val="minor"/>
    </font>
    <font>
      <sz val="11"/>
      <color rgb="FF3F3F76"/>
      <name val="Calibri"/>
      <family val="2"/>
      <charset val="161"/>
      <scheme val="minor"/>
    </font>
    <font>
      <b/>
      <sz val="11"/>
      <color theme="0"/>
      <name val="Calibri"/>
      <family val="2"/>
      <charset val="161"/>
      <scheme val="minor"/>
    </font>
    <font>
      <sz val="11"/>
      <color rgb="FF3F3F76"/>
      <name val="Arial Black"/>
      <family val="2"/>
      <charset val="161"/>
    </font>
    <font>
      <sz val="8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A5A5A5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 style="double">
        <color rgb="FF3F3F3F"/>
      </right>
      <top/>
      <bottom style="double">
        <color rgb="FF3F3F3F"/>
      </bottom>
      <diagonal/>
    </border>
  </borders>
  <cellStyleXfs count="3">
    <xf numFmtId="0" fontId="0" fillId="0" borderId="0"/>
    <xf numFmtId="0" fontId="1" fillId="2" borderId="1" applyNumberFormat="0" applyAlignment="0" applyProtection="0"/>
    <xf numFmtId="0" fontId="2" fillId="3" borderId="2" applyNumberFormat="0" applyAlignment="0" applyProtection="0"/>
  </cellStyleXfs>
  <cellXfs count="7">
    <xf numFmtId="0" fontId="0" fillId="0" borderId="0" xfId="0"/>
    <xf numFmtId="0" fontId="3" fillId="2" borderId="0" xfId="1" applyFont="1" applyBorder="1" applyAlignment="1">
      <alignment horizontal="center"/>
    </xf>
    <xf numFmtId="0" fontId="2" fillId="3" borderId="2" xfId="2"/>
    <xf numFmtId="8" fontId="0" fillId="0" borderId="0" xfId="0" applyNumberFormat="1"/>
    <xf numFmtId="0" fontId="2" fillId="3" borderId="3" xfId="2" applyBorder="1" applyAlignment="1">
      <alignment horizontal="left"/>
    </xf>
    <xf numFmtId="9" fontId="0" fillId="0" borderId="0" xfId="0" applyNumberFormat="1"/>
    <xf numFmtId="164" fontId="0" fillId="0" borderId="0" xfId="0" applyNumberFormat="1"/>
  </cellXfs>
  <cellStyles count="3">
    <cellStyle name="Check Cell" xfId="2" builtinId="23"/>
    <cellStyle name="Input" xfId="1" builtinId="20"/>
    <cellStyle name="Normal" xfId="0" builtinId="0"/>
  </cellStyles>
  <dxfs count="10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C0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800"/>
              <a:t>INVESTMENTS </a:t>
            </a:r>
          </a:p>
          <a:p>
            <a:pPr>
              <a:defRPr sz="2800"/>
            </a:pPr>
            <a:endParaRPr lang="en-US" sz="2800"/>
          </a:p>
        </c:rich>
      </c:tx>
      <c:layout>
        <c:manualLayout>
          <c:xMode val="edge"/>
          <c:yMode val="edge"/>
          <c:x val="0.45882009637877469"/>
          <c:y val="9.0110324793244486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INVESTMENTS</c:v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l-G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Sheet1!$B$20:$J$20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Sheet1!$B$25:$J$25</c:f>
              <c:numCache>
                <c:formatCode>"€"#,##0.00_);[Red]\("€"#,##0.00\)</c:formatCode>
                <c:ptCount val="9"/>
                <c:pt idx="0">
                  <c:v>450</c:v>
                </c:pt>
                <c:pt idx="1">
                  <c:v>280</c:v>
                </c:pt>
                <c:pt idx="2">
                  <c:v>550</c:v>
                </c:pt>
                <c:pt idx="3">
                  <c:v>500</c:v>
                </c:pt>
                <c:pt idx="4">
                  <c:v>490</c:v>
                </c:pt>
                <c:pt idx="5">
                  <c:v>610</c:v>
                </c:pt>
                <c:pt idx="6">
                  <c:v>800</c:v>
                </c:pt>
                <c:pt idx="7">
                  <c:v>550</c:v>
                </c:pt>
                <c:pt idx="8">
                  <c:v>550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322-4232-BD39-F225D6A8DC8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778449215"/>
        <c:axId val="1778439231"/>
      </c:lineChart>
      <c:catAx>
        <c:axId val="1778449215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39231"/>
        <c:crosses val="autoZero"/>
        <c:auto val="1"/>
        <c:lblAlgn val="ctr"/>
        <c:lblOffset val="100"/>
        <c:noMultiLvlLbl val="0"/>
      </c:catAx>
      <c:valAx>
        <c:axId val="177843923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92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36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3600"/>
              <a:t>RATIOS </a:t>
            </a:r>
          </a:p>
        </c:rich>
      </c:tx>
      <c:layout>
        <c:manualLayout>
          <c:xMode val="edge"/>
          <c:yMode val="edge"/>
          <c:x val="0.4654604904632153"/>
          <c:y val="0.1380670611439842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6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>
        <c:manualLayout>
          <c:layoutTarget val="inner"/>
          <c:xMode val="edge"/>
          <c:yMode val="edge"/>
          <c:x val="0.12767825896762902"/>
          <c:y val="0.37194553805774277"/>
          <c:w val="0.87232174103237092"/>
          <c:h val="0.54380322251385238"/>
        </c:manualLayout>
      </c:layout>
      <c:lineChart>
        <c:grouping val="standard"/>
        <c:varyColors val="0"/>
        <c:ser>
          <c:idx val="0"/>
          <c:order val="0"/>
          <c:tx>
            <c:strRef>
              <c:f>Sheet1!$A$30</c:f>
              <c:strCache>
                <c:ptCount val="1"/>
                <c:pt idx="0">
                  <c:v>INVESTMENTS TO INCOME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Sheet1!$B$30:$J$30</c:f>
              <c:numCache>
                <c:formatCode>0%</c:formatCode>
                <c:ptCount val="9"/>
                <c:pt idx="0">
                  <c:v>0.5625</c:v>
                </c:pt>
                <c:pt idx="1">
                  <c:v>0.21705426356589147</c:v>
                </c:pt>
                <c:pt idx="2">
                  <c:v>0.44897959183673469</c:v>
                </c:pt>
                <c:pt idx="3">
                  <c:v>0.67114093959731547</c:v>
                </c:pt>
                <c:pt idx="4">
                  <c:v>0.64052287581699341</c:v>
                </c:pt>
                <c:pt idx="5">
                  <c:v>0.55809698078682524</c:v>
                </c:pt>
                <c:pt idx="6">
                  <c:v>0.62992125984251968</c:v>
                </c:pt>
                <c:pt idx="7">
                  <c:v>0.62146892655367236</c:v>
                </c:pt>
                <c:pt idx="8">
                  <c:v>0.46413502109704641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264-4F87-9CD7-1331DB945462}"/>
            </c:ext>
          </c:extLst>
        </c:ser>
        <c:ser>
          <c:idx val="1"/>
          <c:order val="1"/>
          <c:tx>
            <c:strRef>
              <c:f>Sheet1!$A$29</c:f>
              <c:strCache>
                <c:ptCount val="1"/>
                <c:pt idx="0">
                  <c:v>INVESTMENTS TO EXPENSES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Sheet1!$B$29:$J$29</c:f>
              <c:numCache>
                <c:formatCode>0%</c:formatCode>
                <c:ptCount val="9"/>
                <c:pt idx="0">
                  <c:v>1.218356572356843</c:v>
                </c:pt>
                <c:pt idx="1">
                  <c:v>0.44664220768862661</c:v>
                </c:pt>
                <c:pt idx="2">
                  <c:v>1.3317191283292977</c:v>
                </c:pt>
                <c:pt idx="3">
                  <c:v>1.1668611435239207</c:v>
                </c:pt>
                <c:pt idx="4">
                  <c:v>1.290492494074269</c:v>
                </c:pt>
                <c:pt idx="5">
                  <c:v>1.4366462552991051</c:v>
                </c:pt>
                <c:pt idx="6">
                  <c:v>1.747487986020096</c:v>
                </c:pt>
                <c:pt idx="7">
                  <c:v>1.249715973642354</c:v>
                </c:pt>
                <c:pt idx="8">
                  <c:v>1.0018214936247725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F27-46A1-89E2-E10D50F3CA37}"/>
            </c:ext>
          </c:extLst>
        </c:ser>
        <c:ser>
          <c:idx val="2"/>
          <c:order val="2"/>
          <c:tx>
            <c:strRef>
              <c:f>Sheet1!$A$31</c:f>
              <c:strCache>
                <c:ptCount val="1"/>
                <c:pt idx="0">
                  <c:v>INCOME TO EXPENSES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cat>
            <c:strRef>
              <c:f>Sheet1!$B$28:$J$28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Sheet1!$B$31:$J$31</c:f>
              <c:numCache>
                <c:formatCode>0%</c:formatCode>
                <c:ptCount val="9"/>
                <c:pt idx="0">
                  <c:v>2.1659672397454988</c:v>
                </c:pt>
                <c:pt idx="1">
                  <c:v>2.0577444568511725</c:v>
                </c:pt>
                <c:pt idx="2">
                  <c:v>2.9661016949152543</c:v>
                </c:pt>
                <c:pt idx="3">
                  <c:v>1.7386231038506417</c:v>
                </c:pt>
                <c:pt idx="4">
                  <c:v>2.0147484856465629</c:v>
                </c:pt>
                <c:pt idx="5">
                  <c:v>2.5741874705605272</c:v>
                </c:pt>
                <c:pt idx="6">
                  <c:v>2.7741371778069026</c:v>
                </c:pt>
                <c:pt idx="7">
                  <c:v>2.0109066121336059</c:v>
                </c:pt>
                <c:pt idx="8">
                  <c:v>2.1584699453551917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F27-46A1-89E2-E10D50F3CA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78450879"/>
        <c:axId val="1778441311"/>
      </c:lineChart>
      <c:catAx>
        <c:axId val="1778450879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41311"/>
        <c:crosses val="autoZero"/>
        <c:auto val="1"/>
        <c:lblAlgn val="ctr"/>
        <c:lblOffset val="100"/>
        <c:noMultiLvlLbl val="0"/>
      </c:catAx>
      <c:valAx>
        <c:axId val="1778441311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1778450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7519793496887272"/>
          <c:y val="5.4121201812924589E-2"/>
          <c:w val="0.24728423518613021"/>
          <c:h val="2.858978078820198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l-G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ACTUAL INCOME</c:v>
          </c:tx>
          <c:spPr>
            <a:ln w="38100" cap="rnd" cmpd="sng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19050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Sheet1!$B$1:$J$1</c:f>
              <c:strCache>
                <c:ptCount val="9"/>
                <c:pt idx="0">
                  <c:v> 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 25</c:v>
                </c:pt>
              </c:strCache>
            </c:strRef>
          </c:cat>
          <c:val>
            <c:numRef>
              <c:f>Sheet1!$B$3:$J$3</c:f>
              <c:numCache>
                <c:formatCode>"€"#,##0.00_);[Red]\("€"#,##0.00\)</c:formatCode>
                <c:ptCount val="9"/>
                <c:pt idx="0">
                  <c:v>800</c:v>
                </c:pt>
                <c:pt idx="1">
                  <c:v>1290</c:v>
                </c:pt>
                <c:pt idx="2">
                  <c:v>1225</c:v>
                </c:pt>
                <c:pt idx="3">
                  <c:v>745</c:v>
                </c:pt>
                <c:pt idx="4">
                  <c:v>765</c:v>
                </c:pt>
                <c:pt idx="5">
                  <c:v>1093</c:v>
                </c:pt>
                <c:pt idx="6" formatCode="#,##0.00\ &quot;€&quot;">
                  <c:v>1270</c:v>
                </c:pt>
                <c:pt idx="7" formatCode="#,##0.00\ &quot;€&quot;">
                  <c:v>885</c:v>
                </c:pt>
                <c:pt idx="8" formatCode="#,##0.00\ &quot;€&quot;">
                  <c:v>1185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0E5-42CC-8995-6A94C533A2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167807"/>
        <c:axId val="526168223"/>
      </c:lineChart>
      <c:catAx>
        <c:axId val="526167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8223"/>
        <c:crosses val="autoZero"/>
        <c:auto val="1"/>
        <c:lblAlgn val="ctr"/>
        <c:lblOffset val="100"/>
        <c:noMultiLvlLbl val="0"/>
      </c:catAx>
      <c:valAx>
        <c:axId val="5261682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526167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 w="31750">
      <a:solidFill>
        <a:schemeClr val="accent1"/>
      </a:solidFill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32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l-G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EXPENSES</c:v>
          </c:tx>
          <c:spPr>
            <a:ln w="38100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8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Pt>
            <c:idx val="1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3-F8FA-40B2-9F4B-D4B7D42C68C6}"/>
              </c:ext>
            </c:extLst>
          </c:dPt>
          <c:dPt>
            <c:idx val="2"/>
            <c:marker>
              <c:symbol val="circle"/>
              <c:size val="8"/>
              <c:spPr>
                <a:gradFill rotWithShape="1">
                  <a:gsLst>
                    <a:gs pos="0">
                      <a:schemeClr val="accent1">
                        <a:satMod val="103000"/>
                        <a:lumMod val="102000"/>
                        <a:tint val="94000"/>
                      </a:schemeClr>
                    </a:gs>
                    <a:gs pos="50000">
                      <a:schemeClr val="accent1">
                        <a:satMod val="110000"/>
                        <a:lumMod val="100000"/>
                        <a:shade val="100000"/>
                      </a:schemeClr>
                    </a:gs>
                    <a:gs pos="100000">
                      <a:schemeClr val="accent1">
                        <a:lumMod val="99000"/>
                        <a:satMod val="120000"/>
                        <a:shade val="78000"/>
                      </a:schemeClr>
                    </a:gs>
                  </a:gsLst>
                  <a:lin ang="5400000" scaled="0"/>
                </a:gradFill>
                <a:ln w="19050">
                  <a:solidFill>
                    <a:schemeClr val="accent1"/>
                  </a:solidFill>
                  <a:round/>
                </a:ln>
                <a:effectLst>
                  <a:outerShdw blurRad="57150" dist="19050" dir="5400000" algn="ctr" rotWithShape="0">
                    <a:srgbClr val="000000">
                      <a:alpha val="63000"/>
                    </a:srgbClr>
                  </a:outerShdw>
                </a:effectLst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2-F8FA-40B2-9F4B-D4B7D42C68C6}"/>
              </c:ext>
            </c:extLst>
          </c:dPt>
          <c:cat>
            <c:strRef>
              <c:f>Sheet1!$B$7:$J$7</c:f>
              <c:strCache>
                <c:ptCount val="9"/>
                <c:pt idx="0">
                  <c:v>OCT 24</c:v>
                </c:pt>
                <c:pt idx="1">
                  <c:v>NOV 24</c:v>
                </c:pt>
                <c:pt idx="2">
                  <c:v>DEC 24</c:v>
                </c:pt>
                <c:pt idx="3">
                  <c:v>JAN 25</c:v>
                </c:pt>
                <c:pt idx="4">
                  <c:v>FEB 25</c:v>
                </c:pt>
                <c:pt idx="5">
                  <c:v>MAR 25</c:v>
                </c:pt>
                <c:pt idx="6">
                  <c:v>APR 25</c:v>
                </c:pt>
                <c:pt idx="7">
                  <c:v>MAY 25 </c:v>
                </c:pt>
                <c:pt idx="8">
                  <c:v>JUNE 25</c:v>
                </c:pt>
              </c:strCache>
            </c:strRef>
          </c:cat>
          <c:val>
            <c:numRef>
              <c:f>Sheet1!$B$17:$J$17</c:f>
              <c:numCache>
                <c:formatCode>"€"#,##0.00_);[Red]\("€"#,##0.00\)</c:formatCode>
                <c:ptCount val="9"/>
                <c:pt idx="0">
                  <c:v>369.35</c:v>
                </c:pt>
                <c:pt idx="1">
                  <c:v>626.9</c:v>
                </c:pt>
                <c:pt idx="2">
                  <c:v>413</c:v>
                </c:pt>
                <c:pt idx="3">
                  <c:v>428.5</c:v>
                </c:pt>
                <c:pt idx="4">
                  <c:v>379.70000000000005</c:v>
                </c:pt>
                <c:pt idx="5">
                  <c:v>424.6</c:v>
                </c:pt>
                <c:pt idx="6">
                  <c:v>457.8</c:v>
                </c:pt>
                <c:pt idx="7">
                  <c:v>440.1</c:v>
                </c:pt>
                <c:pt idx="8">
                  <c:v>548.99999999999989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FA-40B2-9F4B-D4B7D42C6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62966239"/>
        <c:axId val="365706735"/>
      </c:lineChart>
      <c:catAx>
        <c:axId val="362966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5706735"/>
        <c:crosses val="autoZero"/>
        <c:auto val="1"/>
        <c:lblAlgn val="ctr"/>
        <c:lblOffset val="100"/>
        <c:noMultiLvlLbl val="0"/>
      </c:catAx>
      <c:valAx>
        <c:axId val="3657067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&quot;€&quot;#,##0.00_);[Red]\(&quot;€&quot;#,##0.0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l-GR"/>
          </a:p>
        </c:txPr>
        <c:crossAx val="362966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l-G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75</xdr:row>
      <xdr:rowOff>0</xdr:rowOff>
    </xdr:from>
    <xdr:to>
      <xdr:col>35</xdr:col>
      <xdr:colOff>561975</xdr:colOff>
      <xdr:row>115</xdr:row>
      <xdr:rowOff>171449</xdr:rowOff>
    </xdr:to>
    <xdr:graphicFrame macro="">
      <xdr:nvGraphicFramePr>
        <xdr:cNvPr id="4" name="Chart 7">
          <a:extLst>
            <a:ext uri="{FF2B5EF4-FFF2-40B4-BE49-F238E27FC236}">
              <a16:creationId xmlns:a16="http://schemas.microsoft.com/office/drawing/2014/main" id="{189F777D-C1C2-4082-98F8-EA95409132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119</xdr:row>
      <xdr:rowOff>47624</xdr:rowOff>
    </xdr:from>
    <xdr:to>
      <xdr:col>35</xdr:col>
      <xdr:colOff>561975</xdr:colOff>
      <xdr:row>164</xdr:row>
      <xdr:rowOff>0</xdr:rowOff>
    </xdr:to>
    <xdr:graphicFrame macro="">
      <xdr:nvGraphicFramePr>
        <xdr:cNvPr id="6" name="Chart 9">
          <a:extLst>
            <a:ext uri="{FF2B5EF4-FFF2-40B4-BE49-F238E27FC236}">
              <a16:creationId xmlns:a16="http://schemas.microsoft.com/office/drawing/2014/main" id="{41475D3E-DF24-4156-9572-19F5E09107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0</xdr:row>
      <xdr:rowOff>28575</xdr:rowOff>
    </xdr:from>
    <xdr:to>
      <xdr:col>35</xdr:col>
      <xdr:colOff>600074</xdr:colOff>
      <xdr:row>37</xdr:row>
      <xdr:rowOff>57150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89249B4C-2FB5-4874-8F9A-95BCF32689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37</xdr:row>
      <xdr:rowOff>171447</xdr:rowOff>
    </xdr:from>
    <xdr:to>
      <xdr:col>35</xdr:col>
      <xdr:colOff>590550</xdr:colOff>
      <xdr:row>73</xdr:row>
      <xdr:rowOff>56695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A276D417-E735-49EE-876D-DDBF360D40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77925-15D9-4267-A6E9-C5D6F6A3F942}">
  <dimension ref="A1:AB32"/>
  <sheetViews>
    <sheetView tabSelected="1" topLeftCell="G1" zoomScaleNormal="100" workbookViewId="0">
      <selection activeCell="T9" sqref="T9"/>
    </sheetView>
  </sheetViews>
  <sheetFormatPr defaultColWidth="8.85546875" defaultRowHeight="15" x14ac:dyDescent="0.25"/>
  <cols>
    <col min="1" max="1" width="29.28515625" customWidth="1"/>
    <col min="2" max="2" width="15.7109375" customWidth="1"/>
    <col min="3" max="3" width="10.7109375" customWidth="1"/>
    <col min="4" max="4" width="20.42578125" customWidth="1"/>
    <col min="5" max="5" width="18.28515625" customWidth="1"/>
    <col min="6" max="6" width="12.28515625" customWidth="1"/>
    <col min="7" max="7" width="12.42578125" customWidth="1"/>
    <col min="8" max="8" width="11.85546875" customWidth="1"/>
    <col min="9" max="9" width="11.42578125" customWidth="1"/>
    <col min="10" max="10" width="11.7109375" customWidth="1"/>
    <col min="11" max="11" width="11" customWidth="1"/>
    <col min="12" max="12" width="10.7109375" customWidth="1"/>
    <col min="13" max="13" width="11.28515625" customWidth="1"/>
    <col min="14" max="14" width="10.85546875" customWidth="1"/>
    <col min="15" max="15" width="10" customWidth="1"/>
    <col min="16" max="16" width="12.42578125" customWidth="1"/>
    <col min="17" max="17" width="11.42578125" customWidth="1"/>
    <col min="18" max="18" width="10.85546875" customWidth="1"/>
  </cols>
  <sheetData>
    <row r="1" spans="1:28" ht="18.75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47</v>
      </c>
      <c r="X1" s="1" t="s">
        <v>48</v>
      </c>
      <c r="Y1" s="1" t="s">
        <v>49</v>
      </c>
      <c r="Z1" s="1" t="s">
        <v>50</v>
      </c>
      <c r="AA1" s="1" t="s">
        <v>51</v>
      </c>
      <c r="AB1" s="1" t="s">
        <v>52</v>
      </c>
    </row>
    <row r="2" spans="1:28" s="6" customFormat="1" ht="15.75" thickBot="1" x14ac:dyDescent="0.3">
      <c r="A2" s="4" t="s">
        <v>16</v>
      </c>
      <c r="B2" s="3">
        <v>300</v>
      </c>
      <c r="C2" s="3">
        <v>1300</v>
      </c>
      <c r="D2" s="3">
        <v>400</v>
      </c>
      <c r="E2" s="3">
        <v>515</v>
      </c>
      <c r="F2" s="3">
        <v>850</v>
      </c>
      <c r="G2" s="3">
        <f>700</f>
        <v>700</v>
      </c>
      <c r="H2" s="3">
        <v>700</v>
      </c>
      <c r="I2" s="3">
        <v>850</v>
      </c>
      <c r="J2" s="3">
        <v>850</v>
      </c>
      <c r="K2" s="3">
        <v>850</v>
      </c>
      <c r="L2" s="6">
        <f>800</f>
        <v>800</v>
      </c>
      <c r="M2" s="6">
        <f>800</f>
        <v>800</v>
      </c>
      <c r="N2" s="6">
        <v>700</v>
      </c>
      <c r="O2" s="6">
        <f>800</f>
        <v>800</v>
      </c>
      <c r="P2" s="6">
        <f>700</f>
        <v>700</v>
      </c>
      <c r="Q2" s="6">
        <f>700</f>
        <v>700</v>
      </c>
      <c r="R2" s="6">
        <f>900</f>
        <v>900</v>
      </c>
      <c r="S2" s="6">
        <v>900</v>
      </c>
      <c r="T2" s="6">
        <v>800</v>
      </c>
    </row>
    <row r="3" spans="1:28" s="6" customFormat="1" ht="16.5" thickTop="1" thickBot="1" x14ac:dyDescent="0.3">
      <c r="A3" s="2" t="s">
        <v>17</v>
      </c>
      <c r="B3" s="3">
        <v>800</v>
      </c>
      <c r="C3" s="3">
        <v>1290</v>
      </c>
      <c r="D3" s="3">
        <v>1225</v>
      </c>
      <c r="E3" s="3">
        <f>615+10+120</f>
        <v>745</v>
      </c>
      <c r="F3" s="3">
        <f>500+15+20+40+20+100+10+50+10</f>
        <v>765</v>
      </c>
      <c r="G3" s="3">
        <f>100+400+25+100+100+10+50+100+100+20+10+8+20+50</f>
        <v>1093</v>
      </c>
      <c r="H3" s="6">
        <f>400+25+20+100+20+20+25+100+20+100+10+200+10+10+100+10+100</f>
        <v>1270</v>
      </c>
      <c r="I3" s="6">
        <f>700+100+20+30+20+5+10</f>
        <v>885</v>
      </c>
      <c r="J3" s="6">
        <f>400+50+15+70+10+150+20+250+220</f>
        <v>1185</v>
      </c>
      <c r="K3" s="6">
        <f>140+20+400+100+100+150+100+55+100</f>
        <v>1165</v>
      </c>
      <c r="L3" s="6">
        <f>400+150+10</f>
        <v>560</v>
      </c>
      <c r="M3" s="6">
        <f>500+10+20+50+15+10+10+20+10+10+10+30+5+40+60</f>
        <v>800</v>
      </c>
      <c r="N3" s="6">
        <f>400+100+50+25+220+30+20+70+40+50+10</f>
        <v>1015</v>
      </c>
      <c r="O3" s="6">
        <f>400+20+100+400+5+60+50+100+100+200</f>
        <v>1435</v>
      </c>
      <c r="P3" s="6">
        <f>400+700+100+200</f>
        <v>1400</v>
      </c>
      <c r="Q3" s="6">
        <f>130+50+500+50+20</f>
        <v>750</v>
      </c>
      <c r="R3" s="6">
        <f>550+20+20+10+10+200+200+250</f>
        <v>1260</v>
      </c>
      <c r="S3" s="6">
        <f>400+100+100+110+100</f>
        <v>810</v>
      </c>
      <c r="T3" s="6">
        <f>400+100+50+250</f>
        <v>800</v>
      </c>
    </row>
    <row r="4" spans="1:28" ht="16.5" thickTop="1" thickBot="1" x14ac:dyDescent="0.3">
      <c r="A4" s="2" t="s">
        <v>18</v>
      </c>
      <c r="B4" s="3">
        <f>B3-B2</f>
        <v>500</v>
      </c>
      <c r="C4" s="3">
        <f>C3-C2</f>
        <v>-10</v>
      </c>
      <c r="D4" s="3">
        <f>D3-D2</f>
        <v>825</v>
      </c>
      <c r="E4" s="3">
        <f>E3-E2</f>
        <v>230</v>
      </c>
      <c r="F4" s="3">
        <f t="shared" ref="F4" si="0">F3-F2</f>
        <v>-85</v>
      </c>
      <c r="G4" s="3">
        <f>G3-G2</f>
        <v>393</v>
      </c>
      <c r="H4" s="3">
        <f t="shared" ref="H4" si="1">H3-H2</f>
        <v>570</v>
      </c>
      <c r="I4" s="3">
        <f t="shared" ref="I4" si="2">I3-I2</f>
        <v>35</v>
      </c>
      <c r="J4" s="3">
        <f t="shared" ref="J4:AB4" si="3">J3-J2</f>
        <v>335</v>
      </c>
      <c r="K4" s="3">
        <f t="shared" si="3"/>
        <v>315</v>
      </c>
      <c r="L4" s="3">
        <f t="shared" si="3"/>
        <v>-240</v>
      </c>
      <c r="M4" s="3">
        <f t="shared" si="3"/>
        <v>0</v>
      </c>
      <c r="N4" s="3">
        <f t="shared" si="3"/>
        <v>315</v>
      </c>
      <c r="O4" s="3">
        <f t="shared" si="3"/>
        <v>635</v>
      </c>
      <c r="P4" s="3">
        <f t="shared" si="3"/>
        <v>700</v>
      </c>
      <c r="Q4" s="3">
        <f t="shared" si="3"/>
        <v>50</v>
      </c>
      <c r="R4" s="3">
        <f t="shared" si="3"/>
        <v>360</v>
      </c>
      <c r="S4" s="3">
        <f t="shared" si="3"/>
        <v>-90</v>
      </c>
      <c r="T4" s="3">
        <f t="shared" si="3"/>
        <v>0</v>
      </c>
      <c r="U4" s="3">
        <f t="shared" si="3"/>
        <v>0</v>
      </c>
      <c r="V4" s="3">
        <f t="shared" si="3"/>
        <v>0</v>
      </c>
      <c r="W4" s="3">
        <f t="shared" si="3"/>
        <v>0</v>
      </c>
      <c r="X4" s="3">
        <f t="shared" si="3"/>
        <v>0</v>
      </c>
      <c r="Y4" s="3">
        <f t="shared" si="3"/>
        <v>0</v>
      </c>
      <c r="Z4" s="3">
        <f t="shared" si="3"/>
        <v>0</v>
      </c>
      <c r="AA4" s="3">
        <f t="shared" si="3"/>
        <v>0</v>
      </c>
      <c r="AB4" s="3">
        <f t="shared" si="3"/>
        <v>0</v>
      </c>
    </row>
    <row r="5" spans="1:28" ht="15.75" thickTop="1" x14ac:dyDescent="0.25">
      <c r="J5" s="3"/>
    </row>
    <row r="7" spans="1:28" ht="18.75" x14ac:dyDescent="0.4">
      <c r="A7" s="1" t="s">
        <v>19</v>
      </c>
      <c r="B7" s="1" t="s">
        <v>20</v>
      </c>
      <c r="C7" s="1" t="s">
        <v>2</v>
      </c>
      <c r="D7" s="1" t="s">
        <v>3</v>
      </c>
      <c r="E7" s="1" t="s">
        <v>4</v>
      </c>
      <c r="F7" s="1" t="s">
        <v>5</v>
      </c>
      <c r="G7" s="1" t="s">
        <v>6</v>
      </c>
      <c r="H7" s="1" t="s">
        <v>7</v>
      </c>
      <c r="I7" s="1" t="s">
        <v>8</v>
      </c>
      <c r="J7" s="1" t="s">
        <v>21</v>
      </c>
      <c r="K7" s="1" t="s">
        <v>10</v>
      </c>
      <c r="L7" s="1" t="s">
        <v>11</v>
      </c>
      <c r="M7" s="1" t="s">
        <v>12</v>
      </c>
      <c r="N7" s="1" t="s">
        <v>13</v>
      </c>
      <c r="O7" s="1" t="s">
        <v>14</v>
      </c>
      <c r="P7" s="1" t="s">
        <v>15</v>
      </c>
      <c r="Q7" s="1" t="s">
        <v>41</v>
      </c>
      <c r="R7" s="1" t="s">
        <v>42</v>
      </c>
      <c r="S7" s="1" t="s">
        <v>43</v>
      </c>
      <c r="T7" s="1" t="s">
        <v>44</v>
      </c>
      <c r="U7" s="1" t="s">
        <v>45</v>
      </c>
      <c r="V7" s="1" t="s">
        <v>46</v>
      </c>
      <c r="W7" s="1" t="s">
        <v>47</v>
      </c>
      <c r="X7" s="1" t="s">
        <v>48</v>
      </c>
      <c r="Y7" s="1" t="s">
        <v>49</v>
      </c>
      <c r="Z7" s="1" t="s">
        <v>50</v>
      </c>
      <c r="AA7" s="1" t="s">
        <v>51</v>
      </c>
      <c r="AB7" s="1" t="s">
        <v>52</v>
      </c>
    </row>
    <row r="8" spans="1:28" s="6" customFormat="1" ht="15.75" thickBot="1" x14ac:dyDescent="0.3">
      <c r="A8" s="4" t="s">
        <v>22</v>
      </c>
      <c r="B8" s="3">
        <v>151.81</v>
      </c>
      <c r="C8" s="3">
        <v>8.6</v>
      </c>
      <c r="D8" s="3">
        <v>58</v>
      </c>
      <c r="E8" s="3">
        <f>65.5+37+9</f>
        <v>111.5</v>
      </c>
      <c r="F8" s="3">
        <f>16.6+14.3</f>
        <v>30.900000000000002</v>
      </c>
      <c r="G8" s="6">
        <f>9+13.5+22+16</f>
        <v>60.5</v>
      </c>
      <c r="H8" s="6">
        <f>11+20+15+9</f>
        <v>55</v>
      </c>
      <c r="I8" s="6">
        <f>15+9</f>
        <v>24</v>
      </c>
      <c r="J8" s="6">
        <f>16+9+12+8.8</f>
        <v>45.8</v>
      </c>
      <c r="K8" s="6">
        <f>5+8.19+18.72+6.5</f>
        <v>38.409999999999997</v>
      </c>
      <c r="L8" s="6">
        <f>11.5</f>
        <v>11.5</v>
      </c>
      <c r="M8" s="6">
        <f>20+20</f>
        <v>40</v>
      </c>
      <c r="N8" s="6">
        <f>7+9.7+10.57+12.7</f>
        <v>39.97</v>
      </c>
      <c r="O8" s="6">
        <f>9</f>
        <v>9</v>
      </c>
      <c r="P8" s="6">
        <f>12+6+30+6+10</f>
        <v>64</v>
      </c>
      <c r="Q8" s="6">
        <f>22+20+20</f>
        <v>62</v>
      </c>
      <c r="R8" s="6">
        <f>5.6</f>
        <v>5.6</v>
      </c>
      <c r="S8" s="6">
        <f>13.4</f>
        <v>13.4</v>
      </c>
      <c r="T8" s="6">
        <f>11+26+30+12+21</f>
        <v>100</v>
      </c>
    </row>
    <row r="9" spans="1:28" s="6" customFormat="1" ht="16.5" thickTop="1" thickBot="1" x14ac:dyDescent="0.3">
      <c r="A9" s="4" t="s">
        <v>23</v>
      </c>
      <c r="B9" s="3">
        <f>40</f>
        <v>40</v>
      </c>
      <c r="C9" s="3">
        <v>80</v>
      </c>
      <c r="D9" s="3">
        <v>50</v>
      </c>
      <c r="E9" s="3">
        <v>50</v>
      </c>
      <c r="F9" s="3">
        <v>60</v>
      </c>
      <c r="G9" s="6">
        <f>3+3.5+6+3.1+3.3+3.3+6+3.7+2.6+4.4+7+5</f>
        <v>50.9</v>
      </c>
      <c r="H9" s="6">
        <f>2.6+2.6+2.2+5.8+5+5+8+10+2.1</f>
        <v>43.300000000000004</v>
      </c>
      <c r="I9" s="6">
        <f>2.8+8.2+2+4.2+0.5+8.1+20+2</f>
        <v>47.8</v>
      </c>
      <c r="J9" s="6">
        <f>2.3</f>
        <v>2.2999999999999998</v>
      </c>
      <c r="K9" s="6">
        <f>10+8.9+2.9+2.4</f>
        <v>24.199999999999996</v>
      </c>
      <c r="L9" s="6">
        <f>15+2.1+10</f>
        <v>27.1</v>
      </c>
      <c r="M9" s="6">
        <f>12.2+18.9+18.2+15+5+6.8+2.5+4</f>
        <v>82.6</v>
      </c>
      <c r="N9" s="6">
        <f>3.3+6.5+5.3+8.7+6.13+16+5.1+3.1+11+3.4+2.5</f>
        <v>71.03</v>
      </c>
      <c r="O9" s="6">
        <f>12</f>
        <v>12</v>
      </c>
      <c r="Q9" s="6">
        <f>5+24+12+8+12</f>
        <v>61</v>
      </c>
      <c r="R9" s="6">
        <f>22.5+13+3+17+8.5+6+25+10+9</f>
        <v>114</v>
      </c>
      <c r="S9" s="6">
        <f>14+10+6+7.5+15+15.6+15</f>
        <v>83.1</v>
      </c>
      <c r="T9" s="6">
        <f>33+10+11+10+30+10</f>
        <v>104</v>
      </c>
    </row>
    <row r="10" spans="1:28" s="6" customFormat="1" ht="16.5" thickTop="1" thickBot="1" x14ac:dyDescent="0.3">
      <c r="A10" s="2" t="s">
        <v>24</v>
      </c>
      <c r="B10" s="3">
        <v>55.8</v>
      </c>
      <c r="C10" s="3">
        <v>110</v>
      </c>
      <c r="D10" s="3">
        <v>104</v>
      </c>
      <c r="E10" s="3">
        <f>223+2-50</f>
        <v>175</v>
      </c>
      <c r="F10" s="3">
        <f>60+8.3+12+47+25+6+6+10+20+3-60</f>
        <v>137.30000000000001</v>
      </c>
      <c r="G10" s="6">
        <f>80+17+16</f>
        <v>113</v>
      </c>
      <c r="H10" s="6">
        <f>10+150</f>
        <v>160</v>
      </c>
      <c r="I10" s="6">
        <v>0</v>
      </c>
      <c r="J10" s="6">
        <f>46+55+213+27.2</f>
        <v>341.2</v>
      </c>
      <c r="K10" s="6">
        <f>55+8.7+5.5+27.4+25</f>
        <v>121.6</v>
      </c>
      <c r="L10" s="6">
        <f>38+15</f>
        <v>53</v>
      </c>
      <c r="M10" s="6">
        <v>0</v>
      </c>
      <c r="N10" s="6">
        <f>80</f>
        <v>80</v>
      </c>
      <c r="O10" s="6">
        <f>135</f>
        <v>135</v>
      </c>
      <c r="P10" s="6">
        <f>245</f>
        <v>245</v>
      </c>
      <c r="Q10" s="6">
        <f>23+13</f>
        <v>36</v>
      </c>
      <c r="R10" s="6">
        <f>24</f>
        <v>24</v>
      </c>
      <c r="S10" s="6">
        <f>125+80</f>
        <v>205</v>
      </c>
      <c r="T10" s="6">
        <f>82+200</f>
        <v>282</v>
      </c>
    </row>
    <row r="11" spans="1:28" s="6" customFormat="1" ht="16.5" thickTop="1" thickBot="1" x14ac:dyDescent="0.3">
      <c r="A11" s="2" t="s">
        <v>25</v>
      </c>
      <c r="B11" s="3">
        <v>51.74</v>
      </c>
      <c r="C11" s="3">
        <v>55.3</v>
      </c>
      <c r="D11" s="3">
        <v>5</v>
      </c>
      <c r="E11" s="3">
        <v>20.5</v>
      </c>
      <c r="F11" s="3">
        <f>5+12+13+12</f>
        <v>42</v>
      </c>
      <c r="G11" s="6">
        <f>9+12.5+2.2+6+6+13.5</f>
        <v>49.2</v>
      </c>
      <c r="H11" s="6">
        <f>14+13.5</f>
        <v>27.5</v>
      </c>
      <c r="I11" s="6">
        <f>5+4+8</f>
        <v>17</v>
      </c>
      <c r="J11" s="6">
        <f>2+8+2.2+10+2.3</f>
        <v>24.5</v>
      </c>
      <c r="K11" s="6">
        <f>6+7</f>
        <v>13</v>
      </c>
      <c r="L11" s="6">
        <f>20+10+5+5</f>
        <v>40</v>
      </c>
      <c r="M11" s="6">
        <f>4</f>
        <v>4</v>
      </c>
      <c r="N11" s="6">
        <f>2.3</f>
        <v>2.2999999999999998</v>
      </c>
      <c r="O11" s="6">
        <f>2.3+4.6+6.5</f>
        <v>13.399999999999999</v>
      </c>
      <c r="Q11" s="6">
        <f>2.4</f>
        <v>2.4</v>
      </c>
      <c r="R11" s="6">
        <f>4+30</f>
        <v>34</v>
      </c>
      <c r="S11" s="6">
        <f>8</f>
        <v>8</v>
      </c>
      <c r="T11" s="6">
        <f>10</f>
        <v>10</v>
      </c>
    </row>
    <row r="12" spans="1:28" s="6" customFormat="1" ht="16.5" thickTop="1" thickBot="1" x14ac:dyDescent="0.3">
      <c r="A12" s="2" t="s">
        <v>26</v>
      </c>
      <c r="B12" s="3">
        <v>0</v>
      </c>
      <c r="C12" s="3">
        <v>0</v>
      </c>
      <c r="D12" s="3">
        <v>160</v>
      </c>
      <c r="E12" s="3">
        <v>0</v>
      </c>
      <c r="F12" s="3">
        <v>0</v>
      </c>
      <c r="G12" s="6">
        <f>30+5+10</f>
        <v>45</v>
      </c>
      <c r="H12" s="6">
        <v>0</v>
      </c>
      <c r="I12" s="6">
        <v>0</v>
      </c>
      <c r="J12" s="6">
        <f>10</f>
        <v>10</v>
      </c>
      <c r="K12" s="6">
        <f>20</f>
        <v>20</v>
      </c>
      <c r="L12" s="6">
        <v>0</v>
      </c>
      <c r="M12" s="6">
        <v>5</v>
      </c>
      <c r="N12" s="6">
        <f>0</f>
        <v>0</v>
      </c>
      <c r="O12" s="6">
        <f>10+4+4.5+216</f>
        <v>234.5</v>
      </c>
      <c r="P12" s="6">
        <f>20+170</f>
        <v>190</v>
      </c>
      <c r="Q12" s="6">
        <f>25.7+24+25</f>
        <v>74.7</v>
      </c>
      <c r="R12" s="6">
        <f>100</f>
        <v>100</v>
      </c>
      <c r="S12" s="6">
        <f>6+7.5+180+9</f>
        <v>202.5</v>
      </c>
      <c r="T12" s="6">
        <f>7</f>
        <v>7</v>
      </c>
    </row>
    <row r="13" spans="1:28" s="6" customFormat="1" ht="16.5" thickTop="1" thickBot="1" x14ac:dyDescent="0.3">
      <c r="A13" s="2" t="s">
        <v>27</v>
      </c>
      <c r="B13" s="3">
        <v>0</v>
      </c>
      <c r="C13" s="3">
        <v>335</v>
      </c>
      <c r="D13" s="3">
        <v>0</v>
      </c>
      <c r="E13" s="3">
        <v>0</v>
      </c>
      <c r="F13" s="3">
        <v>0</v>
      </c>
      <c r="G13" s="6">
        <f>50</f>
        <v>50</v>
      </c>
      <c r="H13" s="6">
        <v>0</v>
      </c>
      <c r="I13" s="6">
        <f>216</f>
        <v>216</v>
      </c>
      <c r="J13" s="6">
        <v>0</v>
      </c>
      <c r="K13" s="6">
        <f>30</f>
        <v>30</v>
      </c>
      <c r="L13" s="6">
        <v>0</v>
      </c>
      <c r="M13" s="6">
        <v>0</v>
      </c>
      <c r="N13" s="6">
        <f>0</f>
        <v>0</v>
      </c>
      <c r="P13" s="6">
        <f>20+180</f>
        <v>200</v>
      </c>
      <c r="T13" s="6">
        <f>30</f>
        <v>30</v>
      </c>
    </row>
    <row r="14" spans="1:28" s="6" customFormat="1" ht="16.5" thickTop="1" thickBot="1" x14ac:dyDescent="0.3">
      <c r="A14" s="2" t="s">
        <v>28</v>
      </c>
      <c r="B14" s="3">
        <v>46</v>
      </c>
      <c r="C14" s="3">
        <v>26</v>
      </c>
      <c r="D14" s="3">
        <v>0</v>
      </c>
      <c r="E14" s="3">
        <f>23.5</f>
        <v>23.5</v>
      </c>
      <c r="F14" s="3">
        <f>23+20+10+14.5+5</f>
        <v>72.5</v>
      </c>
      <c r="G14" s="6">
        <v>20</v>
      </c>
      <c r="H14" s="6">
        <f>10+10+7+29+14</f>
        <v>70</v>
      </c>
      <c r="I14" s="6">
        <f>20+13+5+50+10</f>
        <v>98</v>
      </c>
      <c r="J14" s="6">
        <f>15.9+7+35+14+5</f>
        <v>76.900000000000006</v>
      </c>
      <c r="K14" s="6">
        <f>9+15+50+10+8.2+13+192+12.5+18+14.84</f>
        <v>342.53999999999996</v>
      </c>
      <c r="L14" s="6">
        <f>400+33+10</f>
        <v>443</v>
      </c>
      <c r="M14" s="6">
        <f>21+21+20+6+20+10+4</f>
        <v>102</v>
      </c>
      <c r="N14" s="6">
        <f>22.9+20+7.5+8+10.9</f>
        <v>69.3</v>
      </c>
      <c r="O14" s="6">
        <f>13+28+20+25+25</f>
        <v>111</v>
      </c>
      <c r="P14" s="6">
        <f>20+20+30.5+23+8+20</f>
        <v>121.5</v>
      </c>
      <c r="Q14" s="6">
        <f>5+10+50+19-12.5+20+4</f>
        <v>95.5</v>
      </c>
      <c r="R14" s="6">
        <f>14+5+250</f>
        <v>269</v>
      </c>
    </row>
    <row r="15" spans="1:28" s="6" customFormat="1" ht="16.5" thickTop="1" thickBot="1" x14ac:dyDescent="0.3">
      <c r="A15" s="2" t="s">
        <v>29</v>
      </c>
      <c r="B15" s="3">
        <v>24</v>
      </c>
      <c r="C15" s="3">
        <v>12</v>
      </c>
      <c r="D15" s="3">
        <v>12</v>
      </c>
      <c r="E15" s="3">
        <f>2*12</f>
        <v>24</v>
      </c>
      <c r="F15" s="3">
        <v>12</v>
      </c>
      <c r="G15" s="6">
        <f>12</f>
        <v>12</v>
      </c>
      <c r="H15" s="6">
        <f>12+55</f>
        <v>67</v>
      </c>
      <c r="I15" s="6">
        <v>15</v>
      </c>
      <c r="J15" s="6">
        <f>12+14</f>
        <v>26</v>
      </c>
      <c r="K15" s="6">
        <f>12</f>
        <v>12</v>
      </c>
      <c r="L15" s="6">
        <f>14</f>
        <v>14</v>
      </c>
      <c r="M15" s="6">
        <f>14</f>
        <v>14</v>
      </c>
      <c r="N15" s="6">
        <f>15</f>
        <v>15</v>
      </c>
      <c r="Q15" s="6">
        <f>15</f>
        <v>15</v>
      </c>
      <c r="S15" s="6">
        <f>15</f>
        <v>15</v>
      </c>
      <c r="T15" s="6">
        <f>15+15</f>
        <v>30</v>
      </c>
    </row>
    <row r="16" spans="1:28" s="6" customFormat="1" ht="16.5" thickTop="1" thickBot="1" x14ac:dyDescent="0.3">
      <c r="A16" s="2" t="s">
        <v>30</v>
      </c>
      <c r="B16" s="3">
        <v>0</v>
      </c>
      <c r="C16" s="3">
        <v>0</v>
      </c>
      <c r="D16" s="3">
        <v>24</v>
      </c>
      <c r="E16" s="3">
        <v>24</v>
      </c>
      <c r="F16" s="6">
        <f>25</f>
        <v>25</v>
      </c>
      <c r="G16" s="6">
        <v>24</v>
      </c>
      <c r="H16" s="6">
        <f>24+11</f>
        <v>35</v>
      </c>
      <c r="I16" s="6">
        <v>22.3</v>
      </c>
      <c r="J16" s="6">
        <f>22.3</f>
        <v>22.3</v>
      </c>
      <c r="K16" s="6">
        <f>24</f>
        <v>24</v>
      </c>
      <c r="L16" s="6">
        <f>21.29</f>
        <v>21.29</v>
      </c>
      <c r="M16" s="6">
        <f>17+7+24</f>
        <v>48</v>
      </c>
      <c r="N16" s="6">
        <f>40+7+20+10+21</f>
        <v>98</v>
      </c>
      <c r="O16" s="6">
        <f>25+22</f>
        <v>47</v>
      </c>
      <c r="P16" s="6">
        <f>24+10</f>
        <v>34</v>
      </c>
      <c r="Q16" s="6">
        <f>20+24</f>
        <v>44</v>
      </c>
      <c r="R16" s="6">
        <f>44</f>
        <v>44</v>
      </c>
      <c r="S16" s="6">
        <f>22+34+26</f>
        <v>82</v>
      </c>
      <c r="T16" s="6">
        <f>60+30</f>
        <v>90</v>
      </c>
    </row>
    <row r="17" spans="1:28" ht="16.5" thickTop="1" thickBot="1" x14ac:dyDescent="0.3">
      <c r="A17" s="2" t="s">
        <v>31</v>
      </c>
      <c r="B17" s="3">
        <f>SUM(B8:B16)</f>
        <v>369.35</v>
      </c>
      <c r="C17" s="3">
        <f t="shared" ref="C17:AB17" si="4">SUM(C8:C16)</f>
        <v>626.9</v>
      </c>
      <c r="D17" s="3">
        <f t="shared" si="4"/>
        <v>413</v>
      </c>
      <c r="E17" s="3">
        <f t="shared" si="4"/>
        <v>428.5</v>
      </c>
      <c r="F17" s="3">
        <f t="shared" si="4"/>
        <v>379.70000000000005</v>
      </c>
      <c r="G17" s="3">
        <f t="shared" si="4"/>
        <v>424.6</v>
      </c>
      <c r="H17" s="3">
        <f t="shared" si="4"/>
        <v>457.8</v>
      </c>
      <c r="I17" s="3">
        <f t="shared" si="4"/>
        <v>440.1</v>
      </c>
      <c r="J17" s="3">
        <f t="shared" si="4"/>
        <v>548.99999999999989</v>
      </c>
      <c r="K17" s="3">
        <f t="shared" si="4"/>
        <v>625.75</v>
      </c>
      <c r="L17" s="3">
        <f t="shared" si="4"/>
        <v>609.89</v>
      </c>
      <c r="M17" s="3">
        <f t="shared" si="4"/>
        <v>295.60000000000002</v>
      </c>
      <c r="N17" s="3">
        <f t="shared" si="4"/>
        <v>375.6</v>
      </c>
      <c r="O17" s="3">
        <f t="shared" si="4"/>
        <v>561.9</v>
      </c>
      <c r="P17" s="3">
        <f t="shared" si="4"/>
        <v>854.5</v>
      </c>
      <c r="Q17" s="3">
        <f t="shared" si="4"/>
        <v>390.6</v>
      </c>
      <c r="R17" s="3">
        <f t="shared" si="4"/>
        <v>590.6</v>
      </c>
      <c r="S17" s="3">
        <f t="shared" si="4"/>
        <v>609</v>
      </c>
      <c r="T17" s="3">
        <f t="shared" si="4"/>
        <v>653</v>
      </c>
      <c r="U17" s="3">
        <f t="shared" si="4"/>
        <v>0</v>
      </c>
      <c r="V17" s="3">
        <f t="shared" si="4"/>
        <v>0</v>
      </c>
      <c r="W17" s="3">
        <f t="shared" si="4"/>
        <v>0</v>
      </c>
      <c r="X17" s="3">
        <f t="shared" si="4"/>
        <v>0</v>
      </c>
      <c r="Y17" s="3">
        <f t="shared" si="4"/>
        <v>0</v>
      </c>
      <c r="Z17" s="3">
        <f t="shared" si="4"/>
        <v>0</v>
      </c>
      <c r="AA17" s="3">
        <f t="shared" si="4"/>
        <v>0</v>
      </c>
      <c r="AB17" s="3">
        <f t="shared" si="4"/>
        <v>0</v>
      </c>
    </row>
    <row r="18" spans="1:28" ht="15.75" thickTop="1" x14ac:dyDescent="0.25">
      <c r="J18" s="3"/>
      <c r="K18" s="3"/>
      <c r="N18" s="3"/>
    </row>
    <row r="20" spans="1:28" ht="18.75" x14ac:dyDescent="0.4">
      <c r="A20" s="1" t="s">
        <v>32</v>
      </c>
      <c r="B20" s="1" t="s">
        <v>20</v>
      </c>
      <c r="C20" s="1" t="s">
        <v>2</v>
      </c>
      <c r="D20" s="1" t="s">
        <v>3</v>
      </c>
      <c r="E20" s="1" t="s">
        <v>4</v>
      </c>
      <c r="F20" s="1" t="s">
        <v>5</v>
      </c>
      <c r="G20" s="1" t="s">
        <v>6</v>
      </c>
      <c r="H20" s="1" t="s">
        <v>7</v>
      </c>
      <c r="I20" s="1" t="s">
        <v>8</v>
      </c>
      <c r="J20" s="1" t="s">
        <v>21</v>
      </c>
      <c r="K20" s="1" t="s">
        <v>10</v>
      </c>
      <c r="L20" s="1" t="s">
        <v>11</v>
      </c>
      <c r="M20" s="1" t="s">
        <v>12</v>
      </c>
      <c r="N20" s="1" t="s">
        <v>13</v>
      </c>
      <c r="O20" s="1" t="s">
        <v>14</v>
      </c>
      <c r="P20" s="1" t="s">
        <v>15</v>
      </c>
      <c r="Q20" s="1" t="s">
        <v>41</v>
      </c>
      <c r="R20" s="1" t="s">
        <v>42</v>
      </c>
      <c r="S20" s="1" t="s">
        <v>43</v>
      </c>
      <c r="T20" s="1" t="s">
        <v>44</v>
      </c>
      <c r="U20" s="1" t="s">
        <v>45</v>
      </c>
      <c r="V20" s="1" t="s">
        <v>46</v>
      </c>
      <c r="W20" s="1" t="s">
        <v>47</v>
      </c>
      <c r="X20" s="1" t="s">
        <v>48</v>
      </c>
      <c r="Y20" s="1" t="s">
        <v>49</v>
      </c>
      <c r="Z20" s="1" t="s">
        <v>50</v>
      </c>
      <c r="AA20" s="1" t="s">
        <v>51</v>
      </c>
      <c r="AB20" s="1" t="s">
        <v>52</v>
      </c>
    </row>
    <row r="21" spans="1:28" s="6" customFormat="1" ht="15.75" thickBot="1" x14ac:dyDescent="0.3">
      <c r="A21" s="4" t="s">
        <v>33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6">
        <f>0</f>
        <v>0</v>
      </c>
      <c r="O21" s="6">
        <f>0</f>
        <v>0</v>
      </c>
    </row>
    <row r="22" spans="1:28" s="6" customFormat="1" ht="16.5" thickTop="1" thickBot="1" x14ac:dyDescent="0.3">
      <c r="A22" s="2" t="s">
        <v>34</v>
      </c>
      <c r="B22" s="3">
        <v>450</v>
      </c>
      <c r="C22" s="3">
        <v>280</v>
      </c>
      <c r="D22" s="3">
        <v>450</v>
      </c>
      <c r="E22" s="3">
        <v>350</v>
      </c>
      <c r="F22" s="3">
        <f>100+150</f>
        <v>250</v>
      </c>
      <c r="G22" s="6">
        <f>350+100</f>
        <v>450</v>
      </c>
      <c r="H22" s="6">
        <f>300+100+100</f>
        <v>500</v>
      </c>
      <c r="I22" s="6">
        <f>300</f>
        <v>300</v>
      </c>
      <c r="J22" s="6">
        <f>200+100</f>
        <v>300</v>
      </c>
      <c r="K22" s="6">
        <f>100</f>
        <v>100</v>
      </c>
      <c r="L22" s="6">
        <f>120</f>
        <v>120</v>
      </c>
      <c r="M22" s="6">
        <f>100+100</f>
        <v>200</v>
      </c>
      <c r="N22" s="6">
        <f>50+150+270</f>
        <v>470</v>
      </c>
      <c r="O22" s="6">
        <f>150+200</f>
        <v>350</v>
      </c>
      <c r="P22" s="6">
        <f>100+100</f>
        <v>200</v>
      </c>
      <c r="Q22" s="6">
        <f>250</f>
        <v>250</v>
      </c>
      <c r="R22" s="6">
        <f>200</f>
        <v>200</v>
      </c>
      <c r="S22" s="6">
        <f>300</f>
        <v>300</v>
      </c>
      <c r="T22" s="6">
        <f>400</f>
        <v>400</v>
      </c>
    </row>
    <row r="23" spans="1:28" s="6" customFormat="1" ht="16.5" thickTop="1" thickBot="1" x14ac:dyDescent="0.3">
      <c r="A23" s="2" t="s">
        <v>35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6">
        <f>0</f>
        <v>0</v>
      </c>
      <c r="O23" s="6">
        <f>0</f>
        <v>0</v>
      </c>
    </row>
    <row r="24" spans="1:28" s="6" customFormat="1" ht="16.5" thickTop="1" thickBot="1" x14ac:dyDescent="0.3">
      <c r="A24" s="2" t="s">
        <v>36</v>
      </c>
      <c r="B24" s="3">
        <v>0</v>
      </c>
      <c r="C24" s="3">
        <v>0</v>
      </c>
      <c r="D24" s="3">
        <v>100</v>
      </c>
      <c r="E24" s="3">
        <v>150</v>
      </c>
      <c r="F24" s="3">
        <f>100+100+40</f>
        <v>240</v>
      </c>
      <c r="G24" s="6">
        <f>200+60+150-350+100</f>
        <v>160</v>
      </c>
      <c r="H24" s="6">
        <f>70+30+100+100</f>
        <v>300</v>
      </c>
      <c r="I24" s="6">
        <f>150+100</f>
        <v>250</v>
      </c>
      <c r="J24" s="6">
        <f>50+100+100</f>
        <v>250</v>
      </c>
      <c r="K24" s="6">
        <f>300+50</f>
        <v>350</v>
      </c>
      <c r="L24" s="6">
        <f>30+125</f>
        <v>155</v>
      </c>
      <c r="M24" s="6">
        <f>250-100+100+50-100</f>
        <v>200</v>
      </c>
      <c r="N24" s="6">
        <f>200+70+100-270</f>
        <v>100</v>
      </c>
      <c r="O24" s="6">
        <f>400+400-150-200</f>
        <v>450</v>
      </c>
      <c r="P24" s="6">
        <f>400-100+300+100-100</f>
        <v>600</v>
      </c>
      <c r="Q24" s="6">
        <f>500-250</f>
        <v>250</v>
      </c>
      <c r="R24" s="6">
        <f>100+100</f>
        <v>200</v>
      </c>
      <c r="S24" s="6">
        <f>100+100</f>
        <v>200</v>
      </c>
    </row>
    <row r="25" spans="1:28" ht="16.5" thickTop="1" thickBot="1" x14ac:dyDescent="0.3">
      <c r="A25" s="2" t="s">
        <v>31</v>
      </c>
      <c r="B25" s="3">
        <f t="shared" ref="B25:AB25" si="5">SUM(B21:B24)</f>
        <v>450</v>
      </c>
      <c r="C25" s="3">
        <f t="shared" si="5"/>
        <v>280</v>
      </c>
      <c r="D25" s="3">
        <f t="shared" si="5"/>
        <v>550</v>
      </c>
      <c r="E25" s="3">
        <f t="shared" si="5"/>
        <v>500</v>
      </c>
      <c r="F25" s="3">
        <f t="shared" si="5"/>
        <v>490</v>
      </c>
      <c r="G25" s="3">
        <f t="shared" si="5"/>
        <v>610</v>
      </c>
      <c r="H25" s="3">
        <f t="shared" si="5"/>
        <v>800</v>
      </c>
      <c r="I25" s="3">
        <f t="shared" si="5"/>
        <v>550</v>
      </c>
      <c r="J25" s="3">
        <f t="shared" si="5"/>
        <v>550</v>
      </c>
      <c r="K25" s="3">
        <f t="shared" si="5"/>
        <v>450</v>
      </c>
      <c r="L25" s="3">
        <f t="shared" si="5"/>
        <v>275</v>
      </c>
      <c r="M25" s="3">
        <f t="shared" si="5"/>
        <v>400</v>
      </c>
      <c r="N25" s="3">
        <f t="shared" si="5"/>
        <v>570</v>
      </c>
      <c r="O25" s="3">
        <f t="shared" si="5"/>
        <v>800</v>
      </c>
      <c r="P25" s="3">
        <f t="shared" si="5"/>
        <v>800</v>
      </c>
      <c r="Q25" s="3">
        <f t="shared" si="5"/>
        <v>500</v>
      </c>
      <c r="R25" s="3">
        <f t="shared" si="5"/>
        <v>400</v>
      </c>
      <c r="S25" s="3">
        <f t="shared" si="5"/>
        <v>500</v>
      </c>
      <c r="T25" s="3">
        <f t="shared" si="5"/>
        <v>400</v>
      </c>
      <c r="U25" s="3">
        <f t="shared" si="5"/>
        <v>0</v>
      </c>
      <c r="V25" s="3">
        <f t="shared" si="5"/>
        <v>0</v>
      </c>
      <c r="W25" s="3">
        <f t="shared" si="5"/>
        <v>0</v>
      </c>
      <c r="X25" s="3">
        <f t="shared" si="5"/>
        <v>0</v>
      </c>
      <c r="Y25" s="3">
        <f t="shared" si="5"/>
        <v>0</v>
      </c>
      <c r="Z25" s="3">
        <f t="shared" si="5"/>
        <v>0</v>
      </c>
      <c r="AA25" s="3">
        <f t="shared" si="5"/>
        <v>0</v>
      </c>
      <c r="AB25" s="3">
        <f t="shared" si="5"/>
        <v>0</v>
      </c>
    </row>
    <row r="26" spans="1:28" ht="15.75" thickTop="1" x14ac:dyDescent="0.25">
      <c r="J26" s="3"/>
      <c r="L26" s="3"/>
      <c r="Q26" s="3"/>
    </row>
    <row r="27" spans="1:28" x14ac:dyDescent="0.25">
      <c r="J27" s="3"/>
    </row>
    <row r="28" spans="1:28" ht="18.75" x14ac:dyDescent="0.4">
      <c r="A28" s="1" t="s">
        <v>37</v>
      </c>
      <c r="B28" s="1" t="s">
        <v>20</v>
      </c>
      <c r="C28" s="1" t="s">
        <v>2</v>
      </c>
      <c r="D28" s="1" t="s">
        <v>3</v>
      </c>
      <c r="E28" s="1" t="s">
        <v>4</v>
      </c>
      <c r="F28" s="1" t="s">
        <v>5</v>
      </c>
      <c r="G28" s="1" t="s">
        <v>6</v>
      </c>
      <c r="H28" s="1" t="s">
        <v>7</v>
      </c>
      <c r="I28" s="1" t="s">
        <v>8</v>
      </c>
      <c r="J28" s="1" t="s">
        <v>21</v>
      </c>
      <c r="K28" s="1" t="s">
        <v>10</v>
      </c>
      <c r="L28" s="1" t="s">
        <v>11</v>
      </c>
      <c r="M28" s="1" t="s">
        <v>12</v>
      </c>
      <c r="N28" s="1" t="s">
        <v>13</v>
      </c>
      <c r="O28" s="1" t="s">
        <v>14</v>
      </c>
      <c r="P28" s="1" t="s">
        <v>15</v>
      </c>
      <c r="Q28" s="1" t="s">
        <v>41</v>
      </c>
      <c r="R28" s="1" t="s">
        <v>42</v>
      </c>
      <c r="S28" s="1" t="s">
        <v>43</v>
      </c>
      <c r="T28" s="1" t="s">
        <v>44</v>
      </c>
      <c r="U28" s="1" t="s">
        <v>45</v>
      </c>
      <c r="V28" s="1" t="s">
        <v>46</v>
      </c>
      <c r="W28" s="1" t="s">
        <v>47</v>
      </c>
      <c r="X28" s="1" t="s">
        <v>48</v>
      </c>
      <c r="Y28" s="1" t="s">
        <v>49</v>
      </c>
      <c r="Z28" s="1" t="s">
        <v>50</v>
      </c>
      <c r="AA28" s="1" t="s">
        <v>51</v>
      </c>
      <c r="AB28" s="1" t="s">
        <v>52</v>
      </c>
    </row>
    <row r="29" spans="1:28" ht="15.75" thickBot="1" x14ac:dyDescent="0.3">
      <c r="A29" s="4" t="s">
        <v>38</v>
      </c>
      <c r="B29" s="5">
        <f t="shared" ref="B29:T29" si="6">B25/B17</f>
        <v>1.218356572356843</v>
      </c>
      <c r="C29" s="5">
        <f t="shared" si="6"/>
        <v>0.44664220768862661</v>
      </c>
      <c r="D29" s="5">
        <f t="shared" si="6"/>
        <v>1.3317191283292977</v>
      </c>
      <c r="E29" s="5">
        <f t="shared" si="6"/>
        <v>1.1668611435239207</v>
      </c>
      <c r="F29" s="5">
        <f t="shared" si="6"/>
        <v>1.290492494074269</v>
      </c>
      <c r="G29" s="5">
        <f t="shared" si="6"/>
        <v>1.4366462552991051</v>
      </c>
      <c r="H29" s="5">
        <f t="shared" si="6"/>
        <v>1.747487986020096</v>
      </c>
      <c r="I29" s="5">
        <f t="shared" si="6"/>
        <v>1.249715973642354</v>
      </c>
      <c r="J29" s="5">
        <f t="shared" si="6"/>
        <v>1.0018214936247725</v>
      </c>
      <c r="K29" s="5">
        <f t="shared" si="6"/>
        <v>0.71913703555733122</v>
      </c>
      <c r="L29" s="5">
        <f t="shared" si="6"/>
        <v>0.45090098214432112</v>
      </c>
      <c r="M29" s="5">
        <f t="shared" si="6"/>
        <v>1.3531799729364005</v>
      </c>
      <c r="N29" s="5">
        <f t="shared" si="6"/>
        <v>1.5175718849840254</v>
      </c>
      <c r="O29" s="5">
        <f t="shared" si="6"/>
        <v>1.423740879159993</v>
      </c>
      <c r="P29" s="5">
        <f t="shared" si="6"/>
        <v>0.93622001170275015</v>
      </c>
      <c r="Q29" s="5">
        <f t="shared" si="6"/>
        <v>1.2800819252432154</v>
      </c>
      <c r="R29" s="5">
        <f t="shared" si="6"/>
        <v>0.67727734507280724</v>
      </c>
      <c r="S29" s="5">
        <f t="shared" si="6"/>
        <v>0.82101806239737274</v>
      </c>
      <c r="T29" s="5">
        <f t="shared" si="6"/>
        <v>0.61255742725880546</v>
      </c>
    </row>
    <row r="30" spans="1:28" ht="16.5" thickTop="1" thickBot="1" x14ac:dyDescent="0.3">
      <c r="A30" s="2" t="s">
        <v>39</v>
      </c>
      <c r="B30" s="5">
        <f t="shared" ref="B30:T30" si="7">B25/B3</f>
        <v>0.5625</v>
      </c>
      <c r="C30" s="5">
        <f t="shared" si="7"/>
        <v>0.21705426356589147</v>
      </c>
      <c r="D30" s="5">
        <f t="shared" si="7"/>
        <v>0.44897959183673469</v>
      </c>
      <c r="E30" s="5">
        <f t="shared" si="7"/>
        <v>0.67114093959731547</v>
      </c>
      <c r="F30" s="5">
        <f t="shared" si="7"/>
        <v>0.64052287581699341</v>
      </c>
      <c r="G30" s="5">
        <f t="shared" si="7"/>
        <v>0.55809698078682524</v>
      </c>
      <c r="H30" s="5">
        <f t="shared" si="7"/>
        <v>0.62992125984251968</v>
      </c>
      <c r="I30" s="5">
        <f t="shared" si="7"/>
        <v>0.62146892655367236</v>
      </c>
      <c r="J30" s="5">
        <f t="shared" si="7"/>
        <v>0.46413502109704641</v>
      </c>
      <c r="K30" s="5">
        <f t="shared" si="7"/>
        <v>0.38626609442060084</v>
      </c>
      <c r="L30" s="5">
        <f t="shared" si="7"/>
        <v>0.49107142857142855</v>
      </c>
      <c r="M30" s="5">
        <f t="shared" si="7"/>
        <v>0.5</v>
      </c>
      <c r="N30" s="5">
        <f t="shared" si="7"/>
        <v>0.56157635467980294</v>
      </c>
      <c r="O30" s="5">
        <f t="shared" si="7"/>
        <v>0.55749128919860624</v>
      </c>
      <c r="P30" s="5">
        <f t="shared" si="7"/>
        <v>0.5714285714285714</v>
      </c>
      <c r="Q30" s="5">
        <f t="shared" si="7"/>
        <v>0.66666666666666663</v>
      </c>
      <c r="R30" s="5">
        <f t="shared" si="7"/>
        <v>0.31746031746031744</v>
      </c>
      <c r="S30" s="5">
        <f t="shared" si="7"/>
        <v>0.61728395061728392</v>
      </c>
      <c r="T30" s="5">
        <f t="shared" si="7"/>
        <v>0.5</v>
      </c>
    </row>
    <row r="31" spans="1:28" ht="16.5" thickTop="1" thickBot="1" x14ac:dyDescent="0.3">
      <c r="A31" s="2" t="s">
        <v>40</v>
      </c>
      <c r="B31" s="5">
        <f t="shared" ref="B31:T31" si="8">B3/B17</f>
        <v>2.1659672397454988</v>
      </c>
      <c r="C31" s="5">
        <f t="shared" si="8"/>
        <v>2.0577444568511725</v>
      </c>
      <c r="D31" s="5">
        <f t="shared" si="8"/>
        <v>2.9661016949152543</v>
      </c>
      <c r="E31" s="5">
        <f t="shared" si="8"/>
        <v>1.7386231038506417</v>
      </c>
      <c r="F31" s="5">
        <f t="shared" si="8"/>
        <v>2.0147484856465629</v>
      </c>
      <c r="G31" s="5">
        <f t="shared" si="8"/>
        <v>2.5741874705605272</v>
      </c>
      <c r="H31" s="5">
        <f t="shared" si="8"/>
        <v>2.7741371778069026</v>
      </c>
      <c r="I31" s="5">
        <f t="shared" si="8"/>
        <v>2.0109066121336059</v>
      </c>
      <c r="J31" s="5">
        <f t="shared" si="8"/>
        <v>2.1584699453551917</v>
      </c>
      <c r="K31" s="5">
        <f t="shared" si="8"/>
        <v>1.8617658809428685</v>
      </c>
      <c r="L31" s="5">
        <f t="shared" si="8"/>
        <v>0.91819836363934482</v>
      </c>
      <c r="M31" s="5">
        <f t="shared" si="8"/>
        <v>2.7063599458728009</v>
      </c>
      <c r="N31" s="5">
        <f t="shared" si="8"/>
        <v>2.70234291799787</v>
      </c>
      <c r="O31" s="5">
        <f t="shared" si="8"/>
        <v>2.5538352019932375</v>
      </c>
      <c r="P31" s="5">
        <f t="shared" si="8"/>
        <v>1.6383850204798127</v>
      </c>
      <c r="Q31" s="5">
        <f t="shared" si="8"/>
        <v>1.9201228878648233</v>
      </c>
      <c r="R31" s="5">
        <f t="shared" si="8"/>
        <v>2.1334236369793431</v>
      </c>
      <c r="S31" s="5">
        <f t="shared" si="8"/>
        <v>1.3300492610837438</v>
      </c>
      <c r="T31" s="5">
        <f t="shared" si="8"/>
        <v>1.2251148545176109</v>
      </c>
    </row>
    <row r="32" spans="1:28" ht="15.75" thickTop="1" x14ac:dyDescent="0.25">
      <c r="A32" s="5"/>
      <c r="B32" s="3"/>
      <c r="C32" s="3"/>
      <c r="D32" s="3"/>
    </row>
  </sheetData>
  <phoneticPr fontId="4" type="noConversion"/>
  <conditionalFormatting sqref="B31:T31">
    <cfRule type="cellIs" dxfId="9" priority="2" operator="lessThanOrEqual">
      <formula>1</formula>
    </cfRule>
    <cfRule type="cellIs" dxfId="8" priority="3" operator="greaterThan">
      <formula>1</formula>
    </cfRule>
  </conditionalFormatting>
  <conditionalFormatting sqref="B4:AB4">
    <cfRule type="cellIs" dxfId="7" priority="17" operator="lessThan">
      <formula>0</formula>
    </cfRule>
    <cfRule type="cellIs" dxfId="6" priority="18" operator="greaterThan">
      <formula>0</formula>
    </cfRule>
  </conditionalFormatting>
  <conditionalFormatting sqref="B17:AB17">
    <cfRule type="cellIs" dxfId="5" priority="1" operator="lessThanOrEqual">
      <formula>200</formula>
    </cfRule>
    <cfRule type="cellIs" dxfId="4" priority="14" operator="greaterThan">
      <formula>200</formula>
    </cfRule>
  </conditionalFormatting>
  <conditionalFormatting sqref="B25:AB25">
    <cfRule type="cellIs" dxfId="3" priority="10" operator="lessThan">
      <formula>150</formula>
    </cfRule>
    <cfRule type="cellIs" dxfId="2" priority="11" operator="greaterThanOrEqual">
      <formula>150</formula>
    </cfRule>
  </conditionalFormatting>
  <conditionalFormatting sqref="B29:T30">
    <cfRule type="cellIs" dxfId="1" priority="4" operator="lessThan">
      <formula>0.5</formula>
    </cfRule>
    <cfRule type="cellIs" dxfId="0" priority="5" operator="greaterThanOrEqual">
      <formula>0.5</formula>
    </cfRule>
  </conditionalFormatting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D6FBA6-59CA-43FA-947C-C4DC6C55F2EF}">
  <dimension ref="A1"/>
  <sheetViews>
    <sheetView zoomScale="84" zoomScaleNormal="84" workbookViewId="0">
      <selection activeCell="AP88" sqref="AP88"/>
    </sheetView>
  </sheetViews>
  <sheetFormatPr defaultColWidth="8.85546875" defaultRowHeight="15" x14ac:dyDescent="0.25"/>
  <sheetData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Andreas Papathanasioy</dc:creator>
  <cp:keywords/>
  <dc:description/>
  <cp:lastModifiedBy>Andreas Papathanasioy</cp:lastModifiedBy>
  <cp:revision/>
  <dcterms:created xsi:type="dcterms:W3CDTF">2024-10-25T20:29:43Z</dcterms:created>
  <dcterms:modified xsi:type="dcterms:W3CDTF">2026-04-27T19:33:32Z</dcterms:modified>
  <cp:category/>
  <cp:contentStatus/>
</cp:coreProperties>
</file>
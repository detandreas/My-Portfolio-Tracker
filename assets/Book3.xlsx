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FINANCING\"/>
    </mc:Choice>
  </mc:AlternateContent>
  <xr:revisionPtr revIDLastSave="0" documentId="13_ncr:1_{700BA8B3-E66D-40A1-9D72-1F94B1D8A914}" xr6:coauthVersionLast="47" xr6:coauthVersionMax="47" xr10:uidLastSave="{00000000-0000-0000-0000-000000000000}"/>
  <bookViews>
    <workbookView xWindow="-120" yWindow="-120" windowWidth="3864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0" i="1" l="1"/>
  <c r="V3" i="1"/>
  <c r="V30" i="1"/>
  <c r="V14" i="1"/>
  <c r="V9" i="1"/>
  <c r="V16" i="1"/>
  <c r="V24" i="1"/>
  <c r="U24" i="1"/>
  <c r="U22" i="1"/>
  <c r="V2" i="1"/>
  <c r="U9" i="1"/>
  <c r="U17" i="1" s="1"/>
  <c r="U3" i="1"/>
  <c r="U4" i="1" s="1"/>
  <c r="U14" i="1"/>
  <c r="U10" i="1"/>
  <c r="U16" i="1"/>
  <c r="U15" i="1"/>
  <c r="U8" i="1"/>
  <c r="U25" i="1"/>
  <c r="T8" i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V25" i="1"/>
  <c r="W25" i="1"/>
  <c r="X25" i="1"/>
  <c r="Y25" i="1"/>
  <c r="Z25" i="1"/>
  <c r="AA25" i="1"/>
  <c r="AB25" i="1"/>
  <c r="V17" i="1"/>
  <c r="V31" i="1" s="1"/>
  <c r="W17" i="1"/>
  <c r="X17" i="1"/>
  <c r="Y17" i="1"/>
  <c r="Z17" i="1"/>
  <c r="AA17" i="1"/>
  <c r="AB17" i="1"/>
  <c r="W4" i="1"/>
  <c r="X4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V4" i="1" l="1"/>
  <c r="V29" i="1"/>
  <c r="U30" i="1"/>
  <c r="U29" i="1"/>
  <c r="U31" i="1"/>
  <c r="T17" i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T31" i="1" l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<sst xmlns="http://schemas.openxmlformats.org/spreadsheetml/2006/main" count="133" uniqueCount="53">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</sst>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selection activeCell="V11" sqref="V11"/>
    </sheetView>
  </sheetViews>
  <sheetFormatPr defaultColWidth="8.85546875" defaultRowHeight="15" x14ac:dyDescent="0.25"/>
  <cols>
    <col min="1" max="1" width="29.28515625" customWidth="1"/>
    <col min="2" max="2" width="10.7109375" bestFit="1" customWidth="1"/>
    <col min="3" max="3" width="10.28515625" bestFit="1" customWidth="1"/>
    <col min="4" max="5" width="9.85546875" bestFit="1" customWidth="1"/>
    <col min="6" max="6" width="9.5703125" bestFit="1" customWidth="1"/>
    <col min="7" max="7" width="10.28515625" bestFit="1" customWidth="1"/>
    <col min="8" max="8" width="9.85546875" bestFit="1" customWidth="1"/>
    <col min="9" max="9" width="11" bestFit="1" customWidth="1"/>
    <col min="10" max="10" width="11.5703125" bestFit="1" customWidth="1"/>
    <col min="11" max="11" width="9.5703125" bestFit="1" customWidth="1"/>
    <col min="12" max="12" width="10.28515625" bestFit="1" customWidth="1"/>
    <col min="13" max="13" width="9.5703125" bestFit="1" customWidth="1"/>
    <col min="14" max="14" width="10" bestFit="1" customWidth="1"/>
    <col min="15" max="15" width="10" customWidth="1"/>
    <col min="16" max="16" width="12.42578125" customWidth="1"/>
    <col min="17" max="17" width="11.42578125" customWidth="1"/>
    <col min="18" max="18" width="10.85546875" customWidth="1"/>
    <col min="21" max="21" width="10.28515625" bestFit="1" customWidth="1"/>
  </cols>
  <sheetData>
    <row r="1" spans="1:28" ht="18.7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5.75" thickBot="1" x14ac:dyDescent="0.3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  <c r="U2" s="6">
        <v>2000</v>
      </c>
      <c r="V2" s="6">
        <f>700</f>
        <v>700</v>
      </c>
    </row>
    <row r="3" spans="1:28" s="6" customFormat="1" ht="16.5" thickTop="1" thickBot="1" x14ac:dyDescent="0.3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  <c r="U3" s="6">
        <f>400+40+2000+100</f>
        <v>2540</v>
      </c>
      <c r="V3" s="6">
        <f>400+20+200</f>
        <v>620</v>
      </c>
    </row>
    <row r="4" spans="1:28" ht="16.5" thickTop="1" thickBot="1" x14ac:dyDescent="0.3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>U3-U2</f>
        <v>540</v>
      </c>
      <c r="V4" s="3">
        <f t="shared" si="3"/>
        <v>-80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5.75" thickTop="1" x14ac:dyDescent="0.25">
      <c r="J5" s="3"/>
    </row>
    <row r="7" spans="1:28" ht="18.75" x14ac:dyDescent="0.4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5.75" thickBot="1" x14ac:dyDescent="0.3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  <c r="U8" s="6">
        <f>11</f>
        <v>11</v>
      </c>
    </row>
    <row r="9" spans="1:28" s="6" customFormat="1" ht="16.5" thickTop="1" thickBot="1" x14ac:dyDescent="0.3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  <c r="U9" s="6">
        <f>14+15+3+10+30</f>
        <v>72</v>
      </c>
      <c r="V9" s="6">
        <f>9</f>
        <v>9</v>
      </c>
    </row>
    <row r="10" spans="1:28" s="6" customFormat="1" ht="16.5" thickTop="1" thickBot="1" x14ac:dyDescent="0.3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  <c r="U10" s="6">
        <f>46</f>
        <v>46</v>
      </c>
      <c r="V10" s="6">
        <f>225</f>
        <v>225</v>
      </c>
    </row>
    <row r="11" spans="1:28" s="6" customFormat="1" ht="16.5" thickTop="1" thickBot="1" x14ac:dyDescent="0.3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</row>
    <row r="12" spans="1:28" s="6" customFormat="1" ht="16.5" thickTop="1" thickBot="1" x14ac:dyDescent="0.3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</row>
    <row r="13" spans="1:28" s="6" customFormat="1" ht="16.5" thickTop="1" thickBot="1" x14ac:dyDescent="0.3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</row>
    <row r="14" spans="1:28" s="6" customFormat="1" ht="16.5" thickTop="1" thickBot="1" x14ac:dyDescent="0.3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  <c r="U14" s="6">
        <f>50+20+17</f>
        <v>87</v>
      </c>
      <c r="V14" s="6">
        <f>19.1</f>
        <v>19.100000000000001</v>
      </c>
    </row>
    <row r="15" spans="1:28" s="6" customFormat="1" ht="16.5" thickTop="1" thickBot="1" x14ac:dyDescent="0.3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  <c r="U15" s="6">
        <f>15</f>
        <v>15</v>
      </c>
    </row>
    <row r="16" spans="1:28" s="6" customFormat="1" ht="16.5" thickTop="1" thickBot="1" x14ac:dyDescent="0.3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  <c r="U16" s="6">
        <f>50+30</f>
        <v>80</v>
      </c>
      <c r="V16" s="6">
        <f>4</f>
        <v>4</v>
      </c>
    </row>
    <row r="17" spans="1:28" ht="16.5" thickTop="1" thickBot="1" x14ac:dyDescent="0.3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311</v>
      </c>
      <c r="V17" s="3">
        <f t="shared" si="4"/>
        <v>257.10000000000002</v>
      </c>
      <c r="W17" s="3">
        <f t="shared" si="4"/>
        <v>0</v>
      </c>
      <c r="X17" s="3">
        <f t="shared" si="4"/>
        <v>0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5.75" thickTop="1" x14ac:dyDescent="0.25">
      <c r="J18" s="3"/>
      <c r="K18" s="3"/>
      <c r="N18" s="3"/>
    </row>
    <row r="20" spans="1:28" ht="18.75" x14ac:dyDescent="0.4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5.75" thickBot="1" x14ac:dyDescent="0.3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6.5" thickTop="1" thickBot="1" x14ac:dyDescent="0.3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  <c r="U22" s="6">
        <f>200</f>
        <v>200</v>
      </c>
    </row>
    <row r="23" spans="1:28" s="6" customFormat="1" ht="16.5" thickTop="1" thickBot="1" x14ac:dyDescent="0.3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6.5" thickTop="1" thickBot="1" x14ac:dyDescent="0.3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  <c r="U24" s="6">
        <f>1500</f>
        <v>1500</v>
      </c>
      <c r="V24" s="6">
        <f>300</f>
        <v>300</v>
      </c>
    </row>
    <row r="25" spans="1:28" ht="16.5" thickTop="1" thickBot="1" x14ac:dyDescent="0.3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1700</v>
      </c>
      <c r="V25" s="3">
        <f t="shared" si="5"/>
        <v>300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5.75" thickTop="1" x14ac:dyDescent="0.25">
      <c r="J26" s="3"/>
      <c r="L26" s="3"/>
      <c r="Q26" s="3"/>
    </row>
    <row r="27" spans="1:28" x14ac:dyDescent="0.25">
      <c r="J27" s="3"/>
    </row>
    <row r="28" spans="1:28" ht="18.75" x14ac:dyDescent="0.4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5.75" thickBot="1" x14ac:dyDescent="0.3">
      <c r="A29" s="4" t="s">
        <v>38</v>
      </c>
      <c r="B29" s="5">
        <f t="shared" ref="B29:V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  <c r="U29" s="5">
        <f t="shared" si="6"/>
        <v>5.4662379421221861</v>
      </c>
      <c r="V29" s="5">
        <f t="shared" si="6"/>
        <v>1.1668611435239205</v>
      </c>
    </row>
    <row r="30" spans="1:28" ht="16.5" thickTop="1" thickBot="1" x14ac:dyDescent="0.3">
      <c r="A30" s="2" t="s">
        <v>39</v>
      </c>
      <c r="B30" s="5">
        <f t="shared" ref="B30:V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  <c r="U30" s="5">
        <f t="shared" si="7"/>
        <v>0.6692913385826772</v>
      </c>
      <c r="V30" s="5">
        <f t="shared" si="7"/>
        <v>0.4838709677419355</v>
      </c>
    </row>
    <row r="31" spans="1:28" ht="16.5" thickTop="1" thickBot="1" x14ac:dyDescent="0.3">
      <c r="A31" s="2" t="s">
        <v>40</v>
      </c>
      <c r="B31" s="5">
        <f t="shared" ref="B31:V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  <c r="U31" s="5">
        <f t="shared" si="8"/>
        <v>8.1672025723472661</v>
      </c>
      <c r="V31" s="5">
        <f t="shared" si="8"/>
        <v>2.4115130299494356</v>
      </c>
    </row>
    <row r="32" spans="1:28" ht="15.75" thickTop="1" x14ac:dyDescent="0.25">
      <c r="A32" s="5"/>
      <c r="B32" s="3"/>
      <c r="C32" s="3"/>
      <c r="D32" s="3"/>
    </row>
  </sheetData>
  <phoneticPr fontId="4" type="noConversion"/>
  <conditionalFormatting sqref="B31:V31">
    <cfRule type="cellIs" dxfId="9" priority="2" operator="lessThanOrEqual">
      <formula>1</formula>
    </cfRule>
    <cfRule type="cellIs" dxfId="8" priority="3" operator="greaterThan">
      <formula>1</formula>
    </cfRule>
  </conditionalFormatting>
  <conditionalFormatting sqref="B4:AB4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B17:AB17">
    <cfRule type="cellIs" dxfId="5" priority="1" operator="lessThanOrEqual">
      <formula>200</formula>
    </cfRule>
    <cfRule type="cellIs" dxfId="4" priority="14" operator="greaterThan">
      <formula>200</formula>
    </cfRule>
  </conditionalFormatting>
  <conditionalFormatting sqref="B25:AB25">
    <cfRule type="cellIs" dxfId="3" priority="10" operator="lessThan">
      <formula>150</formula>
    </cfRule>
    <cfRule type="cellIs" dxfId="2" priority="11" operator="greaterThanOrEqual">
      <formula>150</formula>
    </cfRule>
  </conditionalFormatting>
  <conditionalFormatting sqref="B29:V30">
    <cfRule type="cellIs" dxfId="1" priority="4" operator="lessThan">
      <formula>0.5</formula>
    </cfRule>
    <cfRule type="cellIs" dxfId="0" priority="5" operator="greaterThanOrEqual">
      <formula>0.5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defaultColWidth="8.85546875" defaultRowHeight="15" x14ac:dyDescent="0.25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PAPATHANASIOU</cp:lastModifiedBy>
  <cp:revision/>
  <dcterms:created xsi:type="dcterms:W3CDTF">2024-10-25T20:29:43Z</dcterms:created>
  <dcterms:modified xsi:type="dcterms:W3CDTF">2026-06-07T21:41:16Z</dcterms:modified>
  <cp:category/>
  <cp:contentStatus/>
</cp:coreProperties>
</file>
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spapathanasioy/Documents/programming/codes/python/Dashboard-local/Dashboard/assets/"/>
    </mc:Choice>
  </mc:AlternateContent>
  <xr:revisionPtr revIDLastSave="0" documentId="13_ncr:1_{4D1F5C90-B0B3-4241-AEEA-814C3E469222}" xr6:coauthVersionLast="47" xr6:coauthVersionMax="47" xr10:uidLastSave="{00000000-0000-0000-0000-000000000000}"/>
  <bookViews>
    <workbookView xWindow="0" yWindow="680" windowWidth="3420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9" i="1" l="1"/>
  <c r="X14" i="1"/>
  <c r="X24" i="1"/>
  <c r="X3" i="1"/>
  <c r="X16" i="1"/>
  <c r="X15" i="1"/>
  <c r="X4" i="1"/>
  <c r="W8" i="1"/>
  <c r="W9" i="1"/>
  <c r="W3" i="1"/>
  <c r="W30" i="1"/>
  <c r="W24" i="1"/>
  <c r="X2" i="1"/>
  <c r="W12" i="1"/>
  <c r="W4" i="1"/>
  <c r="W14" i="1"/>
  <c r="W10" i="1"/>
  <c r="W16" i="1"/>
  <c r="V16" i="1"/>
  <c r="W2" i="1"/>
  <c r="V9" i="1"/>
  <c r="V12" i="1"/>
  <c r="V14" i="1"/>
  <c r="V8" i="1"/>
  <c r="V13" i="1"/>
  <c r="V10" i="1"/>
  <c r="V24" i="1"/>
  <c r="V11" i="1"/>
  <c r="V3" i="1"/>
  <c r="V4" i="1" s="1"/>
  <c r="V22" i="1"/>
  <c r="V25" i="1" s="1"/>
  <c r="U24" i="1"/>
  <c r="U22" i="1"/>
  <c r="V2" i="1"/>
  <c r="U9" i="1"/>
  <c r="U17" i="1" s="1"/>
  <c r="U3" i="1"/>
  <c r="U4" i="1" s="1"/>
  <c r="U14" i="1"/>
  <c r="U10" i="1"/>
  <c r="U16" i="1"/>
  <c r="U15" i="1"/>
  <c r="U8" i="1"/>
  <c r="U25" i="1"/>
  <c r="T8" i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W25" i="1"/>
  <c r="X25" i="1"/>
  <c r="X30" i="1" s="1"/>
  <c r="Y25" i="1"/>
  <c r="Z25" i="1"/>
  <c r="AA25" i="1"/>
  <c r="AB25" i="1"/>
  <c r="W17" i="1"/>
  <c r="W31" i="1" s="1"/>
  <c r="Y17" i="1"/>
  <c r="Z17" i="1"/>
  <c r="AA17" i="1"/>
  <c r="AB17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X17" i="1" l="1"/>
  <c r="X31" i="1" s="1"/>
  <c r="W29" i="1"/>
  <c r="V17" i="1"/>
  <c r="V31" i="1" s="1"/>
  <c r="V30" i="1"/>
  <c r="U30" i="1"/>
  <c r="U29" i="1"/>
  <c r="U31" i="1"/>
  <c r="T17" i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X29" i="1" l="1"/>
  <c r="V29" i="1"/>
  <c r="T31" i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<sst xmlns="http://schemas.openxmlformats.org/spreadsheetml/2006/main" count="133" uniqueCount="53">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</sst>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Εισαγωγή" xfId="1" builtinId="20"/>
    <cellStyle name="Έλεγχος κελιού" xfId="2" builtinId="23"/>
    <cellStyle name="Κανονικό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selection activeCell="P15" sqref="P15"/>
    </sheetView>
  </sheetViews>
  <sheetFormatPr baseColWidth="10" defaultColWidth="8.83203125" defaultRowHeight="15" x14ac:dyDescent="0.2"/>
  <cols>
    <col min="1" max="1" width="29.33203125" customWidth="1"/>
    <col min="2" max="2" width="10.6640625" bestFit="1" customWidth="1"/>
    <col min="3" max="3" width="10.33203125" bestFit="1" customWidth="1"/>
    <col min="4" max="5" width="9.83203125" bestFit="1" customWidth="1"/>
    <col min="6" max="6" width="9.5" bestFit="1" customWidth="1"/>
    <col min="7" max="7" width="10.33203125" bestFit="1" customWidth="1"/>
    <col min="8" max="8" width="9.83203125" bestFit="1" customWidth="1"/>
    <col min="9" max="9" width="11" bestFit="1" customWidth="1"/>
    <col min="10" max="10" width="11.5" bestFit="1" customWidth="1"/>
    <col min="11" max="11" width="9.5" bestFit="1" customWidth="1"/>
    <col min="12" max="12" width="10.33203125" bestFit="1" customWidth="1"/>
    <col min="13" max="13" width="9.5" bestFit="1" customWidth="1"/>
    <col min="14" max="14" width="10" bestFit="1" customWidth="1"/>
    <col min="15" max="15" width="10" customWidth="1"/>
    <col min="16" max="16" width="12.5" customWidth="1"/>
    <col min="17" max="17" width="11.5" customWidth="1"/>
    <col min="18" max="18" width="10.83203125" customWidth="1"/>
    <col min="21" max="21" width="10.33203125" bestFit="1" customWidth="1"/>
    <col min="22" max="22" width="10.33203125" customWidth="1"/>
    <col min="23" max="23" width="9.6640625" customWidth="1"/>
    <col min="24" max="24" width="10.5" customWidth="1"/>
  </cols>
  <sheetData>
    <row r="1" spans="1:28" ht="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6" thickBot="1" x14ac:dyDescent="0.25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  <c r="U2" s="6">
        <v>2000</v>
      </c>
      <c r="V2" s="6">
        <f>700</f>
        <v>700</v>
      </c>
      <c r="W2" s="6">
        <f>650</f>
        <v>650</v>
      </c>
      <c r="X2" s="6">
        <f>1100</f>
        <v>1100</v>
      </c>
    </row>
    <row r="3" spans="1:28" s="6" customFormat="1" ht="17" thickTop="1" thickBot="1" x14ac:dyDescent="0.25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  <c r="U3" s="6">
        <f>400+40+2000+100</f>
        <v>2540</v>
      </c>
      <c r="V3" s="6">
        <f>400+20+200+1000</f>
        <v>1620</v>
      </c>
      <c r="W3" s="6">
        <f>400+150+200+300</f>
        <v>1050</v>
      </c>
      <c r="X3" s="6">
        <f>900+50+500+100</f>
        <v>1550</v>
      </c>
    </row>
    <row r="4" spans="1:28" ht="17" thickTop="1" thickBot="1" x14ac:dyDescent="0.25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>U3-U2</f>
        <v>540</v>
      </c>
      <c r="V4" s="3">
        <f>V3-V2</f>
        <v>920</v>
      </c>
      <c r="W4" s="3">
        <f t="shared" si="3"/>
        <v>400</v>
      </c>
      <c r="X4" s="3">
        <f t="shared" si="3"/>
        <v>450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6" thickTop="1" x14ac:dyDescent="0.2">
      <c r="J5" s="3"/>
    </row>
    <row r="7" spans="1:28" ht="17" x14ac:dyDescent="0.25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6" thickBot="1" x14ac:dyDescent="0.25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  <c r="U8" s="6">
        <f>11</f>
        <v>11</v>
      </c>
      <c r="V8" s="6">
        <f xml:space="preserve"> 9+10+26.84</f>
        <v>45.84</v>
      </c>
      <c r="W8" s="6">
        <f>8+30+6+12+20.4</f>
        <v>76.400000000000006</v>
      </c>
    </row>
    <row r="9" spans="1:28" s="6" customFormat="1" ht="17" thickTop="1" thickBot="1" x14ac:dyDescent="0.25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  <c r="U9" s="6">
        <f>14+15+3+10+30</f>
        <v>72</v>
      </c>
      <c r="V9" s="6">
        <f>9+10+9+16+20+15.5+11</f>
        <v>90.5</v>
      </c>
      <c r="W9" s="6">
        <f>13+10+11+12+8.8+7+13</f>
        <v>74.8</v>
      </c>
      <c r="X9" s="6">
        <f>10+16+3</f>
        <v>29</v>
      </c>
    </row>
    <row r="10" spans="1:28" s="6" customFormat="1" ht="17" thickTop="1" thickBot="1" x14ac:dyDescent="0.25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  <c r="U10" s="6">
        <f>46</f>
        <v>46</v>
      </c>
      <c r="V10" s="6">
        <f>225+155</f>
        <v>380</v>
      </c>
      <c r="W10" s="6">
        <f>115+25</f>
        <v>140</v>
      </c>
    </row>
    <row r="11" spans="1:28" s="6" customFormat="1" ht="17" thickTop="1" thickBot="1" x14ac:dyDescent="0.25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  <c r="V11" s="6">
        <f>5+6</f>
        <v>11</v>
      </c>
    </row>
    <row r="12" spans="1:28" s="6" customFormat="1" ht="17" thickTop="1" thickBot="1" x14ac:dyDescent="0.25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  <c r="V12" s="6">
        <f>35+5</f>
        <v>40</v>
      </c>
      <c r="W12" s="6">
        <f>11</f>
        <v>11</v>
      </c>
    </row>
    <row r="13" spans="1:28" s="6" customFormat="1" ht="17" thickTop="1" thickBot="1" x14ac:dyDescent="0.25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  <c r="V13" s="6">
        <f>320+9.3</f>
        <v>329.3</v>
      </c>
    </row>
    <row r="14" spans="1:28" s="6" customFormat="1" ht="17" thickTop="1" thickBot="1" x14ac:dyDescent="0.25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  <c r="U14" s="6">
        <f>50+20+17</f>
        <v>87</v>
      </c>
      <c r="V14" s="6">
        <f>19.1+20+20+14+9.5+12</f>
        <v>94.6</v>
      </c>
      <c r="W14" s="6">
        <f>22</f>
        <v>22</v>
      </c>
      <c r="X14" s="6">
        <f>112+10+800+8+25</f>
        <v>955</v>
      </c>
    </row>
    <row r="15" spans="1:28" s="6" customFormat="1" ht="17" thickTop="1" thickBot="1" x14ac:dyDescent="0.25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  <c r="U15" s="6">
        <f>15</f>
        <v>15</v>
      </c>
      <c r="X15" s="6">
        <f>28</f>
        <v>28</v>
      </c>
    </row>
    <row r="16" spans="1:28" s="6" customFormat="1" ht="17" thickTop="1" thickBot="1" x14ac:dyDescent="0.25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  <c r="U16" s="6">
        <f>50+30</f>
        <v>80</v>
      </c>
      <c r="V16" s="6">
        <f>4+50</f>
        <v>54</v>
      </c>
      <c r="W16" s="6">
        <f>58</f>
        <v>58</v>
      </c>
      <c r="X16" s="6">
        <f>60</f>
        <v>60</v>
      </c>
    </row>
    <row r="17" spans="1:28" ht="17" thickTop="1" thickBot="1" x14ac:dyDescent="0.25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311</v>
      </c>
      <c r="V17" s="3">
        <f t="shared" si="4"/>
        <v>1045.2400000000002</v>
      </c>
      <c r="W17" s="3">
        <f t="shared" si="4"/>
        <v>382.2</v>
      </c>
      <c r="X17" s="3">
        <f t="shared" si="4"/>
        <v>1072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6" thickTop="1" x14ac:dyDescent="0.2">
      <c r="J18" s="3"/>
      <c r="K18" s="3"/>
      <c r="N18" s="3"/>
    </row>
    <row r="20" spans="1:28" ht="17" x14ac:dyDescent="0.25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6" thickBot="1" x14ac:dyDescent="0.25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7" thickTop="1" thickBot="1" x14ac:dyDescent="0.25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  <c r="U22" s="6">
        <f>200</f>
        <v>200</v>
      </c>
      <c r="V22" s="6">
        <f>200</f>
        <v>200</v>
      </c>
    </row>
    <row r="23" spans="1:28" s="6" customFormat="1" ht="17" thickTop="1" thickBot="1" x14ac:dyDescent="0.25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7" thickTop="1" thickBot="1" x14ac:dyDescent="0.25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  <c r="U24" s="6">
        <f>1500</f>
        <v>1500</v>
      </c>
      <c r="V24" s="6">
        <f>300-200+800</f>
        <v>900</v>
      </c>
      <c r="W24" s="6">
        <f>300</f>
        <v>300</v>
      </c>
      <c r="X24" s="6">
        <f>500+100</f>
        <v>600</v>
      </c>
    </row>
    <row r="25" spans="1:28" ht="17" thickTop="1" thickBot="1" x14ac:dyDescent="0.25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1700</v>
      </c>
      <c r="V25" s="3">
        <f t="shared" si="5"/>
        <v>1100</v>
      </c>
      <c r="W25" s="3">
        <f t="shared" si="5"/>
        <v>300</v>
      </c>
      <c r="X25" s="3">
        <f t="shared" si="5"/>
        <v>600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6" thickTop="1" x14ac:dyDescent="0.2">
      <c r="J26" s="3"/>
      <c r="L26" s="3"/>
      <c r="Q26" s="3"/>
    </row>
    <row r="27" spans="1:28" x14ac:dyDescent="0.2">
      <c r="J27" s="3"/>
    </row>
    <row r="28" spans="1:28" ht="17" x14ac:dyDescent="0.25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6" thickBot="1" x14ac:dyDescent="0.25">
      <c r="A29" s="4" t="s">
        <v>38</v>
      </c>
      <c r="B29" s="5">
        <f t="shared" ref="B29:X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  <c r="U29" s="5">
        <f t="shared" si="6"/>
        <v>5.4662379421221861</v>
      </c>
      <c r="V29" s="5">
        <f t="shared" si="6"/>
        <v>1.0523898817496458</v>
      </c>
      <c r="W29" s="5">
        <f t="shared" si="6"/>
        <v>0.78492935635792782</v>
      </c>
      <c r="X29" s="5">
        <f t="shared" si="6"/>
        <v>0.55970149253731338</v>
      </c>
    </row>
    <row r="30" spans="1:28" ht="17" thickTop="1" thickBot="1" x14ac:dyDescent="0.25">
      <c r="A30" s="2" t="s">
        <v>39</v>
      </c>
      <c r="B30" s="5">
        <f t="shared" ref="B30:X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  <c r="U30" s="5">
        <f t="shared" si="7"/>
        <v>0.6692913385826772</v>
      </c>
      <c r="V30" s="5">
        <f t="shared" si="7"/>
        <v>0.67901234567901236</v>
      </c>
      <c r="W30" s="5">
        <f t="shared" si="7"/>
        <v>0.2857142857142857</v>
      </c>
      <c r="X30" s="5">
        <f t="shared" si="7"/>
        <v>0.38709677419354838</v>
      </c>
    </row>
    <row r="31" spans="1:28" ht="17" thickTop="1" thickBot="1" x14ac:dyDescent="0.25">
      <c r="A31" s="2" t="s">
        <v>40</v>
      </c>
      <c r="B31" s="5">
        <f t="shared" ref="B31:X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  <c r="U31" s="5">
        <f t="shared" si="8"/>
        <v>8.1672025723472661</v>
      </c>
      <c r="V31" s="5">
        <f t="shared" si="8"/>
        <v>1.5498832803949329</v>
      </c>
      <c r="W31" s="5">
        <f t="shared" si="8"/>
        <v>2.7472527472527473</v>
      </c>
      <c r="X31" s="5">
        <f t="shared" si="8"/>
        <v>1.4458955223880596</v>
      </c>
    </row>
    <row r="32" spans="1:28" ht="16" thickTop="1" x14ac:dyDescent="0.2">
      <c r="A32" s="5"/>
      <c r="B32" s="3"/>
      <c r="C32" s="3"/>
      <c r="D32" s="3"/>
    </row>
  </sheetData>
  <phoneticPr fontId="4" type="noConversion"/>
  <conditionalFormatting sqref="B29:X30">
    <cfRule type="cellIs" dxfId="9" priority="4" operator="lessThan">
      <formula>0.5</formula>
    </cfRule>
    <cfRule type="cellIs" dxfId="8" priority="5" operator="greaterThanOrEqual">
      <formula>0.5</formula>
    </cfRule>
  </conditionalFormatting>
  <conditionalFormatting sqref="B31:X31">
    <cfRule type="cellIs" dxfId="7" priority="2" operator="lessThanOrEqual">
      <formula>1</formula>
    </cfRule>
    <cfRule type="cellIs" dxfId="6" priority="3" operator="greaterThan">
      <formula>1</formula>
    </cfRule>
  </conditionalFormatting>
  <conditionalFormatting sqref="B4:AB4">
    <cfRule type="cellIs" dxfId="5" priority="17" operator="lessThan">
      <formula>0</formula>
    </cfRule>
    <cfRule type="cellIs" dxfId="4" priority="18" operator="greaterThan">
      <formula>0</formula>
    </cfRule>
  </conditionalFormatting>
  <conditionalFormatting sqref="B17:AB17">
    <cfRule type="cellIs" dxfId="3" priority="1" operator="lessThanOrEqual">
      <formula>200</formula>
    </cfRule>
    <cfRule type="cellIs" dxfId="2" priority="14" operator="greaterThan">
      <formula>200</formula>
    </cfRule>
  </conditionalFormatting>
  <conditionalFormatting sqref="B25:AB25">
    <cfRule type="cellIs" dxfId="1" priority="10" operator="lessThan">
      <formula>150</formula>
    </cfRule>
    <cfRule type="cellIs" dxfId="0" priority="11" operator="greaterThanOrEqual">
      <formula>150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baseColWidth="10" defaultColWidth="8.83203125" defaultRowHeight="15" x14ac:dyDescent="0.2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PAPATHANASIOU</cp:lastModifiedBy>
  <cp:revision/>
  <dcterms:created xsi:type="dcterms:W3CDTF">2024-10-25T20:29:43Z</dcterms:created>
  <dcterms:modified xsi:type="dcterms:W3CDTF">2026-08-14T09:19:15Z</dcterms:modified>
  <cp:category/>
  <cp:contentStatus/>
</cp:coreProperties>
</file>